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1CE2F1-94BB-4D6D-9522-E70B71468585}" xr6:coauthVersionLast="47" xr6:coauthVersionMax="47" xr10:uidLastSave="{00000000-0000-0000-0000-000000000000}"/>
  <bookViews>
    <workbookView xWindow="-120" yWindow="-120" windowWidth="29040" windowHeight="15840" firstSheet="59" activeTab="59" xr2:uid="{00000000-000D-0000-FFFF-FFFF00000000}"/>
  </bookViews>
  <sheets>
    <sheet name="BC 09.09.2024 - 13.09.2024" sheetId="2" state="hidden" r:id="rId1"/>
    <sheet name="BC 16.09.2024 - 20.09.2024" sheetId="3" state="hidden" r:id="rId2"/>
    <sheet name="BC 23.09.2024 - 27.09.2024" sheetId="4" state="hidden" r:id="rId3"/>
    <sheet name="BC 28.10.2024- 31.10.2024" sheetId="5" state="hidden" r:id="rId4"/>
    <sheet name="BC 04.11.2024- 08.11.2024" sheetId="6" state="hidden" r:id="rId5"/>
    <sheet name="BC 11.11.2024- 15.11.2024" sheetId="7" state="hidden" r:id="rId6"/>
    <sheet name="BC 18.11.2024- 22.11.2024" sheetId="8" state="hidden" r:id="rId7"/>
    <sheet name="BC 25.11.2024- 29.11.2024" sheetId="9" state="hidden" r:id="rId8"/>
    <sheet name="BC 02.12.2024- 06.12.2024" sheetId="10" state="hidden" r:id="rId9"/>
    <sheet name="BC 09.12.2024- 13.12.2024" sheetId="11" state="hidden" r:id="rId10"/>
    <sheet name="BC 16.12.2024- 20.12.2024" sheetId="12" state="hidden" r:id="rId11"/>
    <sheet name="BC 23.12.2024- 27.12.2024" sheetId="13" state="hidden" r:id="rId12"/>
    <sheet name="BC 30.12.2024- 03.01.2025" sheetId="14" state="hidden" r:id="rId13"/>
    <sheet name="BC 06.01.2025- 10.01.2025" sheetId="15" state="hidden" r:id="rId14"/>
    <sheet name="BC 13.01.2025- 17.01.2025" sheetId="16" state="hidden" r:id="rId15"/>
    <sheet name="BC 20.01.2025- 24.01.2025" sheetId="17" state="hidden" r:id="rId16"/>
    <sheet name="BC 03.02.2025- 07.02.2025" sheetId="18" state="hidden" r:id="rId17"/>
    <sheet name="BC 10.02.2025- 14.02.2025" sheetId="19" state="hidden" r:id="rId18"/>
    <sheet name="BC 17.02.2025- 21.02.2025" sheetId="20" state="hidden" r:id="rId19"/>
    <sheet name="BC 24.02.2025- 28.02.2025 " sheetId="21" state="hidden" r:id="rId20"/>
    <sheet name="BC 03.03.2025- 07.03.2025" sheetId="22" state="hidden" r:id="rId21"/>
    <sheet name="BC 10.03.2025- 14.03.2025" sheetId="23" state="hidden" r:id="rId22"/>
    <sheet name="BC 17.03.2025- 21.03.2025" sheetId="24" state="hidden" r:id="rId23"/>
    <sheet name="BC 24.03.2025- 28.03.2025" sheetId="25" state="hidden" r:id="rId24"/>
    <sheet name="BC 31.03.2025- 04.04.2025" sheetId="26" state="hidden" r:id="rId25"/>
    <sheet name="BC 07.04.2025- 11.04.2025" sheetId="27" state="hidden" r:id="rId26"/>
    <sheet name="BC 14.04.2025- 18.04.2025" sheetId="28" state="hidden" r:id="rId27"/>
    <sheet name="BC 21.04.2025- 26.04.2025" sheetId="29" state="hidden" r:id="rId28"/>
    <sheet name="BC 05.05.2025- 09.05.2025" sheetId="30" state="hidden" r:id="rId29"/>
    <sheet name="BC 12.05.2025- 16.05.2025" sheetId="31" state="hidden" r:id="rId30"/>
    <sheet name="BC 19.05.2025- 23.05.2025" sheetId="32" state="hidden" r:id="rId31"/>
    <sheet name="BC 26.05.2025- 30.05.2025" sheetId="33" state="hidden" r:id="rId32"/>
    <sheet name="BC 02.06.2025- 06.06.2025" sheetId="34" state="hidden" r:id="rId33"/>
    <sheet name="BC 09.06.2025- 13.06.2025" sheetId="35" state="hidden" r:id="rId34"/>
    <sheet name="BC 16.06.2025- 20.06.2025" sheetId="36" state="hidden" r:id="rId35"/>
    <sheet name="BC 23.06.2025- 27.06.2025" sheetId="37" state="hidden" r:id="rId36"/>
    <sheet name="BC 30.06.2025- 04.07.2025" sheetId="38" state="hidden" r:id="rId37"/>
    <sheet name="BC 07.07.2025- 11.07.2025" sheetId="39" state="hidden" r:id="rId38"/>
    <sheet name="BC 14.07.2025- 18.07.2025" sheetId="40" state="hidden" r:id="rId39"/>
    <sheet name="BC 21.07.2025- 25.07.2025" sheetId="41" state="hidden" r:id="rId40"/>
    <sheet name="BC 28.07.2025- 01.08.2025" sheetId="42" state="hidden" r:id="rId41"/>
    <sheet name="BC 04.08.2025- 08.08.2025" sheetId="43" state="hidden" r:id="rId42"/>
    <sheet name="BC 11.08.2025- 15.08.2025" sheetId="44" state="hidden" r:id="rId43"/>
    <sheet name="BC 18.08.2025- 22.08.2025" sheetId="45" state="hidden" r:id="rId44"/>
    <sheet name="BC 25.08.2025- 29.08.2025" sheetId="46" state="hidden" r:id="rId45"/>
    <sheet name="BC 01.09.2025- 05.09.2025" sheetId="47" state="hidden" r:id="rId46"/>
    <sheet name="BC 08.09.2025- 12.09.2025" sheetId="48" state="hidden" r:id="rId47"/>
    <sheet name="BC 15.09.2025- 19.09.2025" sheetId="49" state="hidden" r:id="rId48"/>
    <sheet name="BC 22.09.2025- 26.09.2025" sheetId="50" state="hidden" r:id="rId49"/>
    <sheet name="BC 29.09.2025- 03.10.2025" sheetId="51" state="hidden" r:id="rId50"/>
    <sheet name="BC 13.10.2025- 17.10.2025" sheetId="52" state="hidden" r:id="rId51"/>
    <sheet name="BC 20.10.2025- 24.10.2025" sheetId="53" state="hidden" r:id="rId52"/>
    <sheet name="BC 27.10.2025- 31.10.2025" sheetId="54" state="hidden" r:id="rId53"/>
    <sheet name="BC 03.11.2025- 07.11.2025" sheetId="55" state="hidden" r:id="rId54"/>
    <sheet name="BC 17.11.2025- 21.11.2025" sheetId="56" state="hidden" r:id="rId55"/>
    <sheet name="BC 24.11.2025-28.11.2025" sheetId="57" state="hidden" r:id="rId56"/>
    <sheet name="BC 13.4 - 17.4.2026" sheetId="58" state="hidden" r:id="rId57"/>
    <sheet name="BC 25.5-29.52026" sheetId="59" state="hidden" r:id="rId58"/>
    <sheet name="BC 29.6 - 3.7.2026" sheetId="60" state="hidden" r:id="rId59"/>
    <sheet name="BC 12.10 - 16.10.2026" sheetId="61" r:id="rId60"/>
    <sheet name="BC 23.3-27.3.2026" sheetId="62" state="hidden" r:id="rId61"/>
    <sheet name="BC 16.3-20.3.2026" sheetId="63" state="hidden" r:id="rId62"/>
    <sheet name="BC-2.3-6.3.2026" sheetId="64" state="hidden" r:id="rId63"/>
    <sheet name="BC 9.2.2026 - 13.2.2026 " sheetId="65" state="hidden" r:id="rId64"/>
    <sheet name="BC 2.2.2026-6.2.2026 " sheetId="66" state="hidden" r:id="rId65"/>
    <sheet name="BC 26.1.2026-30.1.2026" sheetId="67" state="hidden" r:id="rId66"/>
    <sheet name="BC 19.1.2026-23.1.2026" sheetId="68" state="hidden" r:id="rId6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61" l="1"/>
  <c r="H16" i="61"/>
  <c r="H17" i="61"/>
  <c r="H18" i="61"/>
  <c r="H19" i="61"/>
  <c r="H10" i="61"/>
  <c r="H8" i="61"/>
  <c r="H9" i="61"/>
  <c r="H11" i="61"/>
  <c r="H12" i="61"/>
  <c r="H7" i="61"/>
  <c r="H15" i="68"/>
  <c r="H14" i="68"/>
  <c r="H13" i="68"/>
  <c r="H12" i="68"/>
  <c r="H10" i="68"/>
  <c r="H9" i="68"/>
  <c r="H8" i="68"/>
  <c r="H7" i="68"/>
  <c r="H18" i="67"/>
  <c r="H17" i="67"/>
  <c r="H16" i="67"/>
  <c r="H15" i="67"/>
  <c r="H14" i="67"/>
  <c r="H12" i="67"/>
  <c r="H11" i="67"/>
  <c r="H10" i="67"/>
  <c r="H9" i="67"/>
  <c r="H8" i="67"/>
  <c r="H7" i="67"/>
  <c r="H15" i="66"/>
  <c r="H14" i="66"/>
  <c r="H13" i="66"/>
  <c r="H12" i="66"/>
  <c r="H10" i="66"/>
  <c r="H9" i="66"/>
  <c r="H8" i="66"/>
  <c r="H7" i="66"/>
  <c r="H11" i="65"/>
  <c r="H10" i="65"/>
  <c r="H8" i="65"/>
  <c r="H7" i="65"/>
  <c r="H15" i="64"/>
  <c r="H14" i="64"/>
  <c r="H13" i="64"/>
  <c r="H12" i="64"/>
  <c r="H10" i="64"/>
  <c r="H9" i="64"/>
  <c r="H8" i="64"/>
  <c r="H7" i="64"/>
  <c r="H15" i="63"/>
  <c r="H14" i="63"/>
  <c r="H13" i="63"/>
  <c r="H11" i="63"/>
  <c r="H10" i="63"/>
  <c r="H9" i="63"/>
  <c r="H8" i="63"/>
  <c r="H7" i="63"/>
  <c r="H19" i="62"/>
  <c r="H18" i="62"/>
  <c r="H17" i="62"/>
  <c r="H16" i="62"/>
  <c r="H15" i="62"/>
  <c r="H13" i="62"/>
  <c r="H12" i="62"/>
  <c r="H11" i="62"/>
  <c r="H10" i="62"/>
  <c r="H9" i="62"/>
  <c r="H8" i="62"/>
  <c r="H7" i="62"/>
  <c r="H14" i="61"/>
  <c r="H17" i="60"/>
  <c r="H16" i="60"/>
  <c r="H15" i="60"/>
  <c r="H14" i="60"/>
  <c r="H13" i="60"/>
  <c r="H12" i="60"/>
  <c r="H10" i="60"/>
  <c r="H9" i="60"/>
  <c r="H8" i="60"/>
  <c r="H7" i="60"/>
  <c r="H17" i="59"/>
  <c r="H16" i="59"/>
  <c r="H15" i="59"/>
  <c r="H14" i="59"/>
  <c r="H12" i="59"/>
  <c r="H11" i="59"/>
  <c r="H10" i="59"/>
  <c r="H9" i="59"/>
  <c r="H8" i="59"/>
  <c r="H7" i="59"/>
  <c r="H17" i="58"/>
  <c r="H16" i="58"/>
  <c r="H15" i="58"/>
  <c r="H14" i="58"/>
  <c r="H12" i="58"/>
  <c r="H11" i="58"/>
  <c r="H8" i="58"/>
  <c r="H7" i="58"/>
  <c r="A8" i="10"/>
  <c r="A9" i="10" s="1"/>
  <c r="A10" i="10" s="1"/>
  <c r="A11" i="10" s="1"/>
  <c r="A8" i="9"/>
  <c r="A9" i="9" s="1"/>
  <c r="A10" i="9" s="1"/>
  <c r="A11" i="9" s="1"/>
  <c r="A12" i="9" s="1"/>
  <c r="A8" i="8"/>
  <c r="A9" i="8" s="1"/>
  <c r="A10" i="8" s="1"/>
  <c r="A11" i="8" s="1"/>
  <c r="A12" i="8" s="1"/>
  <c r="A13" i="8" s="1"/>
  <c r="A14" i="8" s="1"/>
  <c r="A15" i="8" s="1"/>
  <c r="A16" i="8" s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8" i="6"/>
  <c r="A9" i="6" s="1"/>
  <c r="A10" i="6" s="1"/>
  <c r="A11" i="6" s="1"/>
  <c r="A12" i="6" s="1"/>
  <c r="A13" i="6" s="1"/>
  <c r="A14" i="6" s="1"/>
  <c r="A11" i="4"/>
  <c r="A8" i="3"/>
  <c r="A9" i="3" s="1"/>
  <c r="A10" i="3" s="1"/>
  <c r="A11" i="3" s="1"/>
  <c r="A12" i="3" s="1"/>
  <c r="A13" i="3" s="1"/>
  <c r="A8" i="2"/>
  <c r="A9" i="2" s="1"/>
  <c r="A10" i="2" s="1"/>
  <c r="A11" i="2" s="1"/>
  <c r="A12" i="2" s="1"/>
  <c r="A13" i="2" s="1"/>
</calcChain>
</file>

<file path=xl/sharedStrings.xml><?xml version="1.0" encoding="utf-8"?>
<sst xmlns="http://schemas.openxmlformats.org/spreadsheetml/2006/main" count="2038" uniqueCount="558">
  <si>
    <t>BÁO CÁO CÔNG VIỆC TUẦN</t>
  </si>
  <si>
    <t>Từ ngày: 09/09/2024</t>
  </si>
  <si>
    <t>Đến ngày: 13/09/2024</t>
  </si>
  <si>
    <t>Reporter:</t>
  </si>
  <si>
    <t>AnNTD</t>
  </si>
  <si>
    <t>BÁO CÁO CÔNG VIỆC</t>
  </si>
  <si>
    <t>TT</t>
  </si>
  <si>
    <t>Dự án</t>
  </si>
  <si>
    <t>Công việc thực hiện</t>
  </si>
  <si>
    <t>Kế hoạch</t>
  </si>
  <si>
    <t>Thực tế</t>
  </si>
  <si>
    <t>Phân bổ tỷ lệ nỗ lực (%)</t>
  </si>
  <si>
    <t>Trạng thái</t>
  </si>
  <si>
    <t>HNF_US_23</t>
  </si>
  <si>
    <t>Hỗ trợ xử lý các lỗi phát sinh trong quá trình UAT</t>
  </si>
  <si>
    <t>Đang thực hiện</t>
  </si>
  <si>
    <t>PVP (Presale)</t>
  </si>
  <si>
    <t>Làm Bản tuyên bố đáp ứng (bản chính + 2 bản phụ)</t>
  </si>
  <si>
    <t>Hoàn thành</t>
  </si>
  <si>
    <t>Hỗ trợ dev nghiệp vụ trong quá trình lập trình</t>
  </si>
  <si>
    <t>Kiểm thử các task đã lập trình xong trên jira</t>
  </si>
  <si>
    <t>13/9/2024</t>
  </si>
  <si>
    <t>Đào tạo</t>
  </si>
  <si>
    <t>Training phân hệ Bảo hiểm, Công  cho Phạm Mai</t>
  </si>
  <si>
    <t>Giải đáp các vướng mắc trong quá trình tìm hiểu Hồ sơ, Bảo hiểm, Công</t>
  </si>
  <si>
    <t>Hỗ trợ Mai tìm hiểu nghiệp vụ Công, Lương</t>
  </si>
  <si>
    <t>Từ ngày: 16/09/2024</t>
  </si>
  <si>
    <t>Đến ngày: 20/09/2024</t>
  </si>
  <si>
    <t>Kiểm tra hệ thống HNF LIVE _Phase2</t>
  </si>
  <si>
    <t>16/9/2024</t>
  </si>
  <si>
    <t>Hỗ trợ khách hàng HNF xử lý vấn đề trong quá trình Golive hệ thống</t>
  </si>
  <si>
    <t>17/9/2024</t>
  </si>
  <si>
    <t>Thầu PVP (Presale)</t>
  </si>
  <si>
    <t>Điều chỉnh tài liệu thầu theo yêu cầu review</t>
  </si>
  <si>
    <t>PVP_US2_24</t>
  </si>
  <si>
    <t>Kiểm thử các chức năng nâng cấp của phân hệ tính lương</t>
  </si>
  <si>
    <t>Phân tích chức năng mobile, mapping các chức năng đã có và các chức năng cần xây dựng thêm trên mobile</t>
  </si>
  <si>
    <t>20/9/2024</t>
  </si>
  <si>
    <t>Làm kịch bản UAT các chức năng nâng cấp giai đoạn đầu đối với phân hệ tính lương</t>
  </si>
  <si>
    <t>Từ ngày: 23/09/2024</t>
  </si>
  <si>
    <t>Đến ngày: 27/09/2024</t>
  </si>
  <si>
    <t>Hỗ trợ KH sử dụng hệ thống trong quá trình golive</t>
  </si>
  <si>
    <t>23/09/2024</t>
  </si>
  <si>
    <t>Log task Mobile _phân hệ Hồ sơ</t>
  </si>
  <si>
    <t>Test chức năng nâng cấp của phân hệ Lương, và các báo cáo xuất ra</t>
  </si>
  <si>
    <t>25/09/2024</t>
  </si>
  <si>
    <t>Training nghiệp vụ cho TTS</t>
  </si>
  <si>
    <t>Từ ngày: 28/10/2024</t>
  </si>
  <si>
    <t>Đến ngày: 31/10/2024</t>
  </si>
  <si>
    <t>Ghi chú</t>
  </si>
  <si>
    <t>Hỗ trợ KH sử dụng hệ thống (Phase 2)</t>
  </si>
  <si>
    <t>28/10/2024</t>
  </si>
  <si>
    <t>Hoàn thiện các issue khách hàng phản hồi của phase 2</t>
  </si>
  <si>
    <t>Hoàn thiện tài liệu URD phân hệ Thu nhập và phân hệ Mobile</t>
  </si>
  <si>
    <t>Đã gửi tải liệu anh Tân review</t>
  </si>
  <si>
    <t>Log task phân hệ Thu nhập</t>
  </si>
  <si>
    <t>Đang thực hiện log dần các task cơ bản trong thời gian chờ khách hàng confirm nội dung mapping các khoản mục và bảng lương</t>
  </si>
  <si>
    <t>Từ ngày: 04/11/2024</t>
  </si>
  <si>
    <t>Đến ngày: 08/11/2024</t>
  </si>
  <si>
    <t>Task</t>
  </si>
  <si>
    <t>Thời gian thực hiện ( giờ )</t>
  </si>
  <si>
    <t>Tỷ lệ nỗ lực (%)</t>
  </si>
  <si>
    <t>Viết HDSD phân hệ Tính lương</t>
  </si>
  <si>
    <t>Test task BE PVP</t>
  </si>
  <si>
    <t xml:space="preserve">Đang xử lý </t>
  </si>
  <si>
    <t>Đi kick off dự án nâng cấp tại đơn vị PVP</t>
  </si>
  <si>
    <t>Làm biên bản kickoff dự án</t>
  </si>
  <si>
    <t>Chuẩn bị mẫu báo cáo tư vấn cho phân hệ hồ sơ và phân hệ bảo hiểm</t>
  </si>
  <si>
    <t>Onsite khảo sát nghiệp vụ phân hệ Hồ sơ, báo cáo</t>
  </si>
  <si>
    <t>Chuẩn hóa file hương dẫn import</t>
  </si>
  <si>
    <t>Làm biên bản họp, tổng hợp tài liệu thu thập</t>
  </si>
  <si>
    <t>Từ ngày: 11/11/2024</t>
  </si>
  <si>
    <t>Đến ngày: 15/11/2024</t>
  </si>
  <si>
    <t>Test PVP</t>
  </si>
  <si>
    <t>Chuẩn hóa tài liệu đặc tả mobile, gửi mail tài liệu cho KH</t>
  </si>
  <si>
    <t>Trao đổi anh Đông nghiệp vụ mapping các khoản mục</t>
  </si>
  <si>
    <t>Phân tích nghiệp vụ quy hoạch cán bộ</t>
  </si>
  <si>
    <t>Log task báo cáo cáo phân hệ Hồ sơ</t>
  </si>
  <si>
    <t>Viết tài liệu đặc tả nghiệp vụ phân hệ Hồ sơ - Bảo hiểm</t>
  </si>
  <si>
    <t>13/11/2024</t>
  </si>
  <si>
    <t>Log task nghiệp vụ phân hệ hồ sơ</t>
  </si>
  <si>
    <t>Hiệu chỉnh task bảng công/ phiếu lương</t>
  </si>
  <si>
    <t>14/11/2024</t>
  </si>
  <si>
    <t>Phân tích 2 báo cáo thu nhập</t>
  </si>
  <si>
    <t>Onsite KH</t>
  </si>
  <si>
    <t>15/11/2024</t>
  </si>
  <si>
    <t>Khác</t>
  </si>
  <si>
    <t>Nghỉ phép</t>
  </si>
  <si>
    <t>Hướng dẫn Phạm Mai log task Báo cáo đã khảo sát</t>
  </si>
  <si>
    <t>Tham gia đào tạo phân hệ tổ chức</t>
  </si>
  <si>
    <t>Từ ngày: 18/11/2024</t>
  </si>
  <si>
    <t>Đến ngày: 22/11/2024</t>
  </si>
  <si>
    <t>Viết tài liêu đặc tả nghiệp vụ phân hệ Hồ sơ bảo hiểm</t>
  </si>
  <si>
    <t>Trao đổi anh Đông (PVP) nghiệp vụ vướng mắc của file mapping khoản mục</t>
  </si>
  <si>
    <t>Phân tích nghiệp vụ hồ sơ</t>
  </si>
  <si>
    <t>Trao đổi dev và chuẩn hóa task lịch sử thông tin cập nhật trên mobile</t>
  </si>
  <si>
    <t>Tổng hợp các khoản mục đã mapping, phân tích lại các chức năng Thu nhập</t>
  </si>
  <si>
    <t>Viết tài liệu đặc tả nghiệp vụ Thu nhập</t>
  </si>
  <si>
    <t>Họp phạm vi thực hiện phân hệ hồ sơ</t>
  </si>
  <si>
    <t>Hướng dẫn, phân công Phạm Mai log task hồ sơ</t>
  </si>
  <si>
    <t>Từ ngày: 25/11/2024</t>
  </si>
  <si>
    <t>Đến ngày: 29/11/2024</t>
  </si>
  <si>
    <t>11/25/2024</t>
  </si>
  <si>
    <t>Phân tích tài liệu mapping khoản mục và các bảng lương</t>
  </si>
  <si>
    <t>Hoàn thiện tài liệu đặc tả phân hệ Hồ sơ - Bảo hiểm, gửi email chốt tài liệu</t>
  </si>
  <si>
    <t>11/26/2024</t>
  </si>
  <si>
    <t>Viết tài liệu đặc tả phân hệ Thu nhập và Tính lương gửi bản chốt khách hàng</t>
  </si>
  <si>
    <t>11/27/2024</t>
  </si>
  <si>
    <t>Log task phân hệ hồ sơ</t>
  </si>
  <si>
    <t>Từ ngày: 02/12/2024</t>
  </si>
  <si>
    <t>Đến ngày: 06/12/2024</t>
  </si>
  <si>
    <t>Test PVP: Phân hệ Hồ sơ, mobile</t>
  </si>
  <si>
    <t>Onsite tại đơn vị PVP trao đổi nghiệp vụ Thu  nhập</t>
  </si>
  <si>
    <t>Hiệu chỉnh tài liệu đặc tả thu nhập theo nội dung trao đổi và gửi mail chốt tài liệu</t>
  </si>
  <si>
    <t>Tạo task phân hệ thu nhập</t>
  </si>
  <si>
    <t>Từ ngày: 09/12/2024</t>
  </si>
  <si>
    <t>Đến ngày:13/12/2024</t>
  </si>
  <si>
    <t>Test PVP phân hệ mobile +hồ sơ</t>
  </si>
  <si>
    <t>Nghiên cứu</t>
  </si>
  <si>
    <t>Làm slide thuyết trình phân hệ thuế</t>
  </si>
  <si>
    <t>Đào tạo phân hệ thu nhập</t>
  </si>
  <si>
    <t>Từ ngày: 16/12/2024</t>
  </si>
  <si>
    <t>Đến ngày:20/12/2024</t>
  </si>
  <si>
    <t>Test PVP phân hệ mobile + hồ sơ</t>
  </si>
  <si>
    <t>16/12/2024</t>
  </si>
  <si>
    <t>Từ ngày: 23/12/2024</t>
  </si>
  <si>
    <t>Đến ngày:27/12/2024</t>
  </si>
  <si>
    <t>Viết kịch bản UAT</t>
  </si>
  <si>
    <t>Chuẩn bị tài khoản demo</t>
  </si>
  <si>
    <t>Tạo dữ liệu demo</t>
  </si>
  <si>
    <t>Làm hướng dẫn kiểm thử testflight</t>
  </si>
  <si>
    <t>Viết kịch bản, luồng quy trình demo</t>
  </si>
  <si>
    <t>Từ ngày: 30/12/2024</t>
  </si>
  <si>
    <t>Đến ngày:03/01/2025</t>
  </si>
  <si>
    <t>Test các task done, hỗ trợ nghiệp vụ để lập trình phân hệ Thu nhập</t>
  </si>
  <si>
    <t>Chuẩn bị kịch bản, dữ liệu demo</t>
  </si>
  <si>
    <t>Làm biên bản họp</t>
  </si>
  <si>
    <t>Onsite đào tạo UAT phân hệ hồ sơ</t>
  </si>
  <si>
    <t>Trao đổi, chốt BBLV với chị Huyền, gửi mail phản hồi BBLV</t>
  </si>
  <si>
    <t>Log task các issue phát sính sau UAT</t>
  </si>
  <si>
    <t>Viết HDSD phân hệ Hồ sơ &amp; Bảo hiểm, Mobile</t>
  </si>
  <si>
    <t>Nghi</t>
  </si>
  <si>
    <t>Đi ăn liên hoan cuối năm cùng các anh chị BOD</t>
  </si>
  <si>
    <t>Từ ngày: 06/01/2025</t>
  </si>
  <si>
    <t>Đến ngày:10/01/2025</t>
  </si>
  <si>
    <t>Hỗ trợ nghiệp vụ KH trong quá trình UAT hồ sơ - mobile</t>
  </si>
  <si>
    <t>Test PVP phân hệ Thu nhập</t>
  </si>
  <si>
    <t>Chuẩn bị dữ liệu kiểm thử Thu nhập</t>
  </si>
  <si>
    <t>Từ ngày: 13/01/2025</t>
  </si>
  <si>
    <t>Đến ngày:17/01/2025</t>
  </si>
  <si>
    <t>Test PVP, chuẩn bị dữ liệu demo uat</t>
  </si>
  <si>
    <t>UAT PVP phân hệ Thu nhập</t>
  </si>
  <si>
    <t>Viết biên bản làm việc</t>
  </si>
  <si>
    <t>Khác (Họp, Báo cáo)</t>
  </si>
  <si>
    <t>Nghỉ year end party</t>
  </si>
  <si>
    <t>Từ ngày: 20/01/2025</t>
  </si>
  <si>
    <t>Đến ngày:24/01/2025</t>
  </si>
  <si>
    <t>Log task ghi nhận sau UAT</t>
  </si>
  <si>
    <t>Viết HDSD phân hệ Tính lương và phân hệ Thu nhập</t>
  </si>
  <si>
    <t>Phân tích , log task bổ sung cho yêu cầu ngoài phạm vi : chức năng xem phiếu thu nhập trên portal, bổ sung trường hiển thị cho màn gia cảnh ng thân</t>
  </si>
  <si>
    <t>Từ ngày: 03/02/2025</t>
  </si>
  <si>
    <t>Đến ngày:07/02/2025</t>
  </si>
  <si>
    <t>Khai xuân đầu năm</t>
  </si>
  <si>
    <t>Tạo dữ liệu kiểm thử</t>
  </si>
  <si>
    <t>Hỗ trợ KH sử dụng hệ thống trong quá trình uat</t>
  </si>
  <si>
    <t>Presales</t>
  </si>
  <si>
    <t>Lên timeline presale</t>
  </si>
  <si>
    <t>nghỉ phép năm</t>
  </si>
  <si>
    <t>Nghiên cứu danh sách báo cáo phân hệ Đào tạo, Đánh giá</t>
  </si>
  <si>
    <t>Từ ngày: 10/02/2025</t>
  </si>
  <si>
    <t>Đến ngày:14/02/2025</t>
  </si>
  <si>
    <t>Nghỉ phép năm</t>
  </si>
  <si>
    <t>Log task phát sinh, test các bug done</t>
  </si>
  <si>
    <t>Onsite tại PVP hỗ trợ KH kiểm thử hệ thống</t>
  </si>
  <si>
    <t>Thống kê báo cáo chuẩn bị demo</t>
  </si>
  <si>
    <t>Từ ngày: 17/02/2025</t>
  </si>
  <si>
    <t>Đến ngày:21/02/2025</t>
  </si>
  <si>
    <t>Trao đổi các issue phát sinh sau buổi hỗ trợ kiểm thử với PM và dev</t>
  </si>
  <si>
    <t>Làm biên bản làm việc sau UAT</t>
  </si>
  <si>
    <t>Log task phát sinh UAT</t>
  </si>
  <si>
    <t>Test PVP xử lý các task phát sinh UAT</t>
  </si>
  <si>
    <t>Viêts HDSD bổ sung phân hệ Thu nhâp</t>
  </si>
  <si>
    <t>Phân tích bảng công/ lương Quỹ bảo hiểm Bảo việt</t>
  </si>
  <si>
    <t>Từ ngày: 24/02/2025</t>
  </si>
  <si>
    <t>Đến ngày:28/02/2025</t>
  </si>
  <si>
    <t>Hỗ trợ KH trong quá trình UAT</t>
  </si>
  <si>
    <t>Nghi phép năm</t>
  </si>
  <si>
    <t>Nghiên cứu nghiệp vụ đánh giá</t>
  </si>
  <si>
    <t>Từ ngày: 03/03/2025</t>
  </si>
  <si>
    <t>Đến ngày:07/03/2025</t>
  </si>
  <si>
    <t>Nghiên cứu luồng chạy phân hệ đánh giá</t>
  </si>
  <si>
    <t xml:space="preserve">Đang thực hiện </t>
  </si>
  <si>
    <t>Onsite trình bày tiến độ dự án và các tính năng triển khai MB</t>
  </si>
  <si>
    <t>Tổng hợp issue phát sinh,làm BBLV</t>
  </si>
  <si>
    <t>Presale</t>
  </si>
  <si>
    <t>Họp chuẩn bị Presale NCB</t>
  </si>
  <si>
    <t>2,5</t>
  </si>
  <si>
    <t>Chuẩn bị dữ liệu demo NCB, test  Hisstaff</t>
  </si>
  <si>
    <t>17,5</t>
  </si>
  <si>
    <t>Demo hệ thống tại NCB</t>
  </si>
  <si>
    <t xml:space="preserve">Họp demo Presale Nhựa Duy Tân </t>
  </si>
  <si>
    <t>Tổ chức 8/3</t>
  </si>
  <si>
    <t>Từ ngày: 10/03/2025</t>
  </si>
  <si>
    <t>Đến ngày:14/03/2025</t>
  </si>
  <si>
    <t>Trao đổi, chuẩn hóa form mẫu thu thập dữ liệu ảnh đại diện với khách hàng PVP</t>
  </si>
  <si>
    <t>Test các issue tồn đọng</t>
  </si>
  <si>
    <t>Hỗ trợ tổng hợp nội dung truyền thông mobile app cho đơn vị PVP</t>
  </si>
  <si>
    <t>Onsite cài đặt hệ thống tại đơn vị PVP</t>
  </si>
  <si>
    <t>Kiểm tra hệ thống Golive, đẩy dữ liệu đầu vào lên hệ thống LIVE</t>
  </si>
  <si>
    <t>Đánh giá Usecase của gói thầu SSI</t>
  </si>
  <si>
    <t>Họp review nội dung presale SSI</t>
  </si>
  <si>
    <t>Tham gia demo presale tại công ty chứng khoán SSI</t>
  </si>
  <si>
    <t>Từ ngày: 17/03/2025</t>
  </si>
  <si>
    <t>Đến ngày:21/03/2025</t>
  </si>
  <si>
    <t>Làm biên bản họp gửi mail ghi nhận nội dung cài đặt hệ thống Golive</t>
  </si>
  <si>
    <t>Xử lý yêu cầu phát sinh hệ thống trong giai đoạn Golive</t>
  </si>
  <si>
    <t>Viết tài liệu truyền thông PVP</t>
  </si>
  <si>
    <t>Chuẩn bị luồng demo đào tạo SSI</t>
  </si>
  <si>
    <t>Onsite đào tạo phân hệ C&amp;B tại SSI</t>
  </si>
  <si>
    <t>Onsite đào tạo phân hệ tuyển dụng và đào tạo tại SSI</t>
  </si>
  <si>
    <t>Họp thầu</t>
  </si>
  <si>
    <t>Làm outline thầu VNPost</t>
  </si>
  <si>
    <t>Từ ngày: 24/03/2025</t>
  </si>
  <si>
    <t>Đến ngày:28/03/2025</t>
  </si>
  <si>
    <t>Hỗ trợ xử lý các yêu cầu Golive</t>
  </si>
  <si>
    <t>Họp trainning phân hệ đánh giá với anh Nam (Sài Gòn)</t>
  </si>
  <si>
    <t>Làm tài liệu giải pháp thầu VNPOST</t>
  </si>
  <si>
    <t>Họp chuẩn bị presale VPBank</t>
  </si>
  <si>
    <t>Tổng hợp UC upsale BSR, Chuẩn bị template mẫu</t>
  </si>
  <si>
    <t>Họp demo presale VPbank</t>
  </si>
  <si>
    <t>Kiểm tra luồng đánh giá Nutrifood</t>
  </si>
  <si>
    <t>Từ ngày: 31/03/2025</t>
  </si>
  <si>
    <t>Đến ngày:04/04/2025</t>
  </si>
  <si>
    <t>Phân tích quy trình nghiệp vụ cho 2 phân hệ quản lý đảng viên và quản lý tri thức (presale BSR)</t>
  </si>
  <si>
    <t>Làm biên bản họp VPBANKS</t>
  </si>
  <si>
    <t>Chuẩn hóa menu Presale_japfa</t>
  </si>
  <si>
    <t>Họp tổng kết quý I</t>
  </si>
  <si>
    <t>Họp team BA</t>
  </si>
  <si>
    <t>Từ ngày: 07/04/2025</t>
  </si>
  <si>
    <t>Đến ngày:11/04/2025</t>
  </si>
  <si>
    <t>Nghỉ lễ</t>
  </si>
  <si>
    <t>Nghỉ lễ giỗ tổ Hùng Vương</t>
  </si>
  <si>
    <t>Xử lý các yêu cầu Golive</t>
  </si>
  <si>
    <t>Đẩy dữ liệu bảng lương</t>
  </si>
  <si>
    <t>Họp làm rõ các báo cáo LDV</t>
  </si>
  <si>
    <t>Kiểm tra các case POC VNPOST</t>
  </si>
  <si>
    <t>Từ ngày: 14/04/2025</t>
  </si>
  <si>
    <t>Đến ngày:18/04/2025</t>
  </si>
  <si>
    <t>Nghỉ phép năm sáng</t>
  </si>
  <si>
    <t>Xử lý vấn đề Golive</t>
  </si>
  <si>
    <t>Onsite tại PVP, hỗ trợ chị Liên chạy bảng lương tháng 4</t>
  </si>
  <si>
    <t>Chuẩn bị POC VNPOST</t>
  </si>
  <si>
    <t>Họp trình bày POC VNPOST cho tập đoàn</t>
  </si>
  <si>
    <t>Log task bổ sung dựng các case không đạt của POC</t>
  </si>
  <si>
    <t>Test task POC VNPOST</t>
  </si>
  <si>
    <t>Từ ngày: 21/04/2025</t>
  </si>
  <si>
    <t>Đến ngày: 26/04/2025</t>
  </si>
  <si>
    <t>Làm slide đào tạo Mobile PVP</t>
  </si>
  <si>
    <t>Làm kịch bản đào tạo PVP</t>
  </si>
  <si>
    <t>Onsite đào tạo phân hệ Hồ sơ, Lương, Thu nhập, Công tại đơn vị PVP</t>
  </si>
  <si>
    <t>Làm biên bản họp PVP</t>
  </si>
  <si>
    <t>Xử lý các yêu cầu phát sinh sau đào tạo</t>
  </si>
  <si>
    <t>Phân tích dashboard phân hệ Lương</t>
  </si>
  <si>
    <t>Từ ngày: 05/05/2025</t>
  </si>
  <si>
    <t>Đến ngày: 09/05/2025</t>
  </si>
  <si>
    <t>PVP_US2_24_BH</t>
  </si>
  <si>
    <t>Làm dashboard phân hệ Bảo hiểm</t>
  </si>
  <si>
    <t>Nghiên cứu phân hệ bảo hiểm của UNIBEN</t>
  </si>
  <si>
    <t>Test kiểm tra lại task POC VNPOST</t>
  </si>
  <si>
    <t>Nghiên cứ kiến thức BPMN, quy trình triển khai dự án</t>
  </si>
  <si>
    <t>Tiếp nhận tài liệu dư án SUMITOMO</t>
  </si>
  <si>
    <t>Từ ngày: 12/05/2025</t>
  </si>
  <si>
    <t>Đến ngày: 16/05/2025</t>
  </si>
  <si>
    <t>NTTData_US_25</t>
  </si>
  <si>
    <t>Nghiên cứu chức năng triển khai, luồng chạy của hệ thống NTT</t>
  </si>
  <si>
    <t>Thiết kế giao diện mobile</t>
  </si>
  <si>
    <t>Chạy lại các case POC của VNPOST</t>
  </si>
  <si>
    <t>Họp POC với TVS</t>
  </si>
  <si>
    <t>Hỗ trợ KH trong quá trình sử dụng</t>
  </si>
  <si>
    <t>Làm silde báo cáo đánh giá công việc</t>
  </si>
  <si>
    <t>Từ ngày: 19/05/2025</t>
  </si>
  <si>
    <t>Đến ngày: 23/05/2025</t>
  </si>
  <si>
    <t>Phân tích chức năng mobile NTT</t>
  </si>
  <si>
    <t>Hỗ trợ anh Trung maping các trường thông tin từ DB cũ sang DB mới</t>
  </si>
  <si>
    <t>Phân  tích &amp; Log task VNPOST</t>
  </si>
  <si>
    <t>Test task VNPOST</t>
  </si>
  <si>
    <t>Từ ngày: 26/05/2025</t>
  </si>
  <si>
    <t>Đến ngày: 30/05/2025</t>
  </si>
  <si>
    <t>Nghiên cứu hệ thống NTT, chuẩn bị khảo sát</t>
  </si>
  <si>
    <t>Tạo dữ  liệu VNPOST</t>
  </si>
  <si>
    <t>Hỗ trợ PVP xử lý vấn đề gặp phải trong quá trình sử dụng</t>
  </si>
  <si>
    <t>Từ ngày: 02.06.2025</t>
  </si>
  <si>
    <t>Đến ngày: 06.06.2025</t>
  </si>
  <si>
    <t>Họp với team NTT thống nhất nội dung triển khai</t>
  </si>
  <si>
    <t>Khảo sát online phân hệ chấm công và phân hệ tính lương của dự án NTT</t>
  </si>
  <si>
    <t>Họp khải sát chuyển đổi dữ liệu NTT với đơn vị NTT</t>
  </si>
  <si>
    <t>Tổng hợp nội dung họp</t>
  </si>
  <si>
    <t>Làm file master data gửi NTT</t>
  </si>
  <si>
    <t>Họp nội bộ team PVP</t>
  </si>
  <si>
    <t>Tham gia tổng kết dự án PVP tại đơn vị PVP</t>
  </si>
  <si>
    <t>Hỗ trợ PVP xử lý yêu cầu phat sinh</t>
  </si>
  <si>
    <t>Làm thầu Vinacomin</t>
  </si>
  <si>
    <t>Từ ngày: 09.06.2025</t>
  </si>
  <si>
    <t>Đến ngày: 13.06.2025</t>
  </si>
  <si>
    <t>Viêt tài liệu URD phân hệ chấm công</t>
  </si>
  <si>
    <t>Viêt tài liệu URD phân hệ tinh luong</t>
  </si>
  <si>
    <t>Hop NTT</t>
  </si>
  <si>
    <t>Từ ngày: 16.06.2025</t>
  </si>
  <si>
    <t>Đến ngày: 20.06.2025</t>
  </si>
  <si>
    <t>Làm tài liệu rà soát và tem mẫu</t>
  </si>
  <si>
    <t>Phân tích bảng lương</t>
  </si>
  <si>
    <t>Log tag phân hệ chấm công</t>
  </si>
  <si>
    <t>Log task phân hệ tính lương</t>
  </si>
  <si>
    <t>Họp tuần NTT</t>
  </si>
  <si>
    <t>Đổ dữ liệu lên hệ thống</t>
  </si>
  <si>
    <t>Đang thực hiên</t>
  </si>
  <si>
    <t>Họp trung tâm</t>
  </si>
  <si>
    <t>Từ ngày: 23.06.2025</t>
  </si>
  <si>
    <t>Đến ngày: 27.06.2025</t>
  </si>
  <si>
    <t>Họp NTT</t>
  </si>
  <si>
    <t>Test các task NTT</t>
  </si>
  <si>
    <t>Hỗ trợ xử lý yêu cầu phát sinh PVP</t>
  </si>
  <si>
    <t>Từ ngày: 30.06.2025</t>
  </si>
  <si>
    <t>Đến ngày: 04.07.2025</t>
  </si>
  <si>
    <t>Test bảng công lương NTT, hỗ trợ KH xử lý các phát sinh UAT</t>
  </si>
  <si>
    <t>30.06.2025</t>
  </si>
  <si>
    <t>Từ ngày: 07.07.2025</t>
  </si>
  <si>
    <t>Đến ngày:11.07.2025</t>
  </si>
  <si>
    <t>UAT NTT, hỗ trợ KH sử dụng hệ thống UAT</t>
  </si>
  <si>
    <t>07.07.2025</t>
  </si>
  <si>
    <t>11.07.2025</t>
  </si>
  <si>
    <t xml:space="preserve"> </t>
  </si>
  <si>
    <t>Từ ngày: 14.07.2025</t>
  </si>
  <si>
    <t>Đến ngày:18.07.2025</t>
  </si>
  <si>
    <t>14.07.2025</t>
  </si>
  <si>
    <t>Từ ngày: 21.07.2025</t>
  </si>
  <si>
    <t>Đến ngày:25.07.2025</t>
  </si>
  <si>
    <t>UAT NTT, hỗ trợ KH sử dụng hệ thống GOLIVE Gđ1</t>
  </si>
  <si>
    <t>21.07.2025</t>
  </si>
  <si>
    <t>Từ ngày: 28.07.2025</t>
  </si>
  <si>
    <t>Đến ngày:01.08.2025</t>
  </si>
  <si>
    <t>Họp plan dự án NTT giai đoạn 2</t>
  </si>
  <si>
    <t>Chuẩn bị nôi dung khảo sát</t>
  </si>
  <si>
    <t>Chuẩn bị khảo sát phân hệ Tổ chức - Đào tạo</t>
  </si>
  <si>
    <t>Thực hiện khảo sát phân hệ Tổ chức - Đào tạo</t>
  </si>
  <si>
    <t>Tổng hợp nội dung khảo sát phân hệ Tổ chức - Đào tạo</t>
  </si>
  <si>
    <t>Chuẩn bị khảo sát phân hệ Mobile/ Portal</t>
  </si>
  <si>
    <t>Thực hiện khảo sát phân hệ Mobile/ Portal</t>
  </si>
  <si>
    <t>Tổng hợp nội dung khảo sát phân hệ Mobile/ Portal</t>
  </si>
  <si>
    <t>Chuẩn bị khảo sát phân hệ Hồ sơ - Bảo hiểm</t>
  </si>
  <si>
    <t>Thực hiện khảo sát phân hệ Hồ sơ - Bảo hiểm</t>
  </si>
  <si>
    <t>Tổng hợp nội dung khảo sát phân hệ Hồ sơ - Bảo hiểm</t>
  </si>
  <si>
    <t>Họp weekly TVC-NTT</t>
  </si>
  <si>
    <t>Tham gia open talk AI Architect</t>
  </si>
  <si>
    <t>Làm URD Tổ chức - Hồ sơ</t>
  </si>
  <si>
    <t>Từ ngày: 04.08.2025</t>
  </si>
  <si>
    <t>Đến ngày:08.08.2025</t>
  </si>
  <si>
    <t>Viết tài liệu URD Tổ chức, Hồ sơ, Công, Lương, Bảo hiểm, Mobile, Portal</t>
  </si>
  <si>
    <t>Khảo sát phân hệ Công lương</t>
  </si>
  <si>
    <t>Phân tích, log task phân hệ Hồ sơ - Tổ chức</t>
  </si>
  <si>
    <t>Từ ngày: 11.08.2025</t>
  </si>
  <si>
    <t>Đến ngày:15.08.2025</t>
  </si>
  <si>
    <t>Hướng dẫn TTS</t>
  </si>
  <si>
    <t>Phân tích, log task phân hệ Bảo hiểm - Công</t>
  </si>
  <si>
    <t>Phân tích, log task phân hệ Lương</t>
  </si>
  <si>
    <t>Từ ngày: 18.08.2025</t>
  </si>
  <si>
    <t>Đến ngày: 22.08.2025</t>
  </si>
  <si>
    <t>Log task phân hệ Lương</t>
  </si>
  <si>
    <t>Đổ dữ liệu lương</t>
  </si>
  <si>
    <t>Phân tích bảng lương net expat</t>
  </si>
  <si>
    <t>Hỗ trợ PVP</t>
  </si>
  <si>
    <t>Từ ngày: 25.08.2025</t>
  </si>
  <si>
    <t>Đến ngày: 29.08.2025</t>
  </si>
  <si>
    <t>Log task phân hệ Lương + Portal</t>
  </si>
  <si>
    <t>Nghiên cứu bảng lương expat</t>
  </si>
  <si>
    <t>Sinh nhật công ty</t>
  </si>
  <si>
    <t>Từ ngày: 01.09.2025</t>
  </si>
  <si>
    <t>Đến ngày: 05.09.2025</t>
  </si>
  <si>
    <t>Viết HDSD Tổ chức, bảo hiểm</t>
  </si>
  <si>
    <t>Họp PVP</t>
  </si>
  <si>
    <t>Phân tích payslip + hiệu chỉnh expat</t>
  </si>
  <si>
    <t>Từ ngày: 08.09.2025</t>
  </si>
  <si>
    <t>Đến ngày: 12.09.2025</t>
  </si>
  <si>
    <t>Phân tích + hiệu chỉnh PIT Expat</t>
  </si>
  <si>
    <t>Viết HDSD đào tạo</t>
  </si>
  <si>
    <t>Log task portal+ Mobile</t>
  </si>
  <si>
    <t>Từ ngày: 15.09.2025</t>
  </si>
  <si>
    <t>Đến ngày: 19.09.2025</t>
  </si>
  <si>
    <t>Phân tích PIT</t>
  </si>
  <si>
    <t>Log task PIT</t>
  </si>
  <si>
    <t>Test hệ thống</t>
  </si>
  <si>
    <t>Từ ngày: 22.09.2025</t>
  </si>
  <si>
    <t>Đến ngày: 26.09.2025</t>
  </si>
  <si>
    <t>Viết HDSD Mobile, Poral</t>
  </si>
  <si>
    <t>Viết HDSD Công, lương</t>
  </si>
  <si>
    <t>Từ ngày: 29.09.2025</t>
  </si>
  <si>
    <t>Đến ngày: 03.10.2025</t>
  </si>
  <si>
    <t>Từ ngày: 13.10.2025</t>
  </si>
  <si>
    <t>Đến ngày: 17.10.2025</t>
  </si>
  <si>
    <t>Hỗ trợ KH UAT hệ thống</t>
  </si>
  <si>
    <t>Từ ngày: 20.10.2025</t>
  </si>
  <si>
    <t>Đến ngày: 24.10.2025</t>
  </si>
  <si>
    <t>Từ ngày: 27.10.2025</t>
  </si>
  <si>
    <t>Đến ngày: 31.10.2025</t>
  </si>
  <si>
    <t xml:space="preserve">Nghỉ </t>
  </si>
  <si>
    <t xml:space="preserve">Nghỉ phép </t>
  </si>
  <si>
    <t>Từ ngày: 03.11.2025</t>
  </si>
  <si>
    <t>Đến ngày: 07.11.2025</t>
  </si>
  <si>
    <t>Từ ngày: 17.11.2025</t>
  </si>
  <si>
    <t>Đến ngày: 21.11.2025</t>
  </si>
  <si>
    <t>TrongNT</t>
  </si>
  <si>
    <t>BSR_US_25</t>
  </si>
  <si>
    <t>Phân tích, thiết kế màn hình phân hệ Quản trị tài năng</t>
  </si>
  <si>
    <t>20/11/2025</t>
  </si>
  <si>
    <t>HiStaff Alpha</t>
  </si>
  <si>
    <t xml:space="preserve">Test TVC alpha </t>
  </si>
  <si>
    <t>18/11/2025</t>
  </si>
  <si>
    <t>SCVN_US_25</t>
  </si>
  <si>
    <t>Cập nhật, test dữ liệu live, test luồng email</t>
  </si>
  <si>
    <t>21/11/2025</t>
  </si>
  <si>
    <t>Từ ngày: 24.11.2025</t>
  </si>
  <si>
    <t>Đến ngày: 28.11.2025</t>
  </si>
  <si>
    <t>Tìm hiểu phân hệ Đánh giá
Test task phân hệ Đảng
Phân tích, viết URD phân hệ Quản trị tri thức</t>
  </si>
  <si>
    <t>28/11/2025</t>
  </si>
  <si>
    <t>Từ ngày: 18/5/2026</t>
  </si>
  <si>
    <t>Đến ngày: 22/5/2026</t>
  </si>
  <si>
    <t xml:space="preserve">Dự kiến công việc: </t>
  </si>
  <si>
    <t>Từ ngày: 25/5/2026</t>
  </si>
  <si>
    <t>Đến ngày: 29/5/2026</t>
  </si>
  <si>
    <t>Trịnh Quang Minh</t>
  </si>
  <si>
    <t>SSI</t>
  </si>
  <si>
    <t>Test hệ thống POC - SSI</t>
  </si>
  <si>
    <t xml:space="preserve"> POC - SSI</t>
  </si>
  <si>
    <t>UMC</t>
  </si>
  <si>
    <t>Demo UMC</t>
  </si>
  <si>
    <t>BSR-US</t>
  </si>
  <si>
    <t>Log task Lương hiệu quả</t>
  </si>
  <si>
    <t>TVC</t>
  </si>
  <si>
    <t>Hỗ trợ đẩy dữ liệu &amp; triển khai Go-live Histaff</t>
  </si>
  <si>
    <t>SCVN</t>
  </si>
  <si>
    <t>Hỗ trợ phản hồi KH &amp; test SCVN</t>
  </si>
  <si>
    <t xml:space="preserve">Kế hoạch tuần tới (18/5/2026 -&gt; 22/5/2026) </t>
  </si>
  <si>
    <t>Hiệu chỉnh Histaff</t>
  </si>
  <si>
    <t xml:space="preserve">Chuẩn bị kịch bản UAT - Lộ trình công danh </t>
  </si>
  <si>
    <t>Chưa thực hiện</t>
  </si>
  <si>
    <t>Từ ngày: 1/6/2026</t>
  </si>
  <si>
    <t>Đến ngày: 5/6/2026</t>
  </si>
  <si>
    <t>Từ ngày: 8/6/2026</t>
  </si>
  <si>
    <t>Đến ngày: 12/6/2026</t>
  </si>
  <si>
    <t xml:space="preserve">Sửa lại tài liệu URD Quản trị nhân tài </t>
  </si>
  <si>
    <t xml:space="preserve">Log task Quản trị nhân tài </t>
  </si>
  <si>
    <t xml:space="preserve">Làm kế hoạch triển khai Histaff </t>
  </si>
  <si>
    <t>Chuẩn bị dữ liệu &amp; đào tạo HDSD VPBankS</t>
  </si>
  <si>
    <t xml:space="preserve">Test Lộ trình công danh </t>
  </si>
  <si>
    <t>Log bug Histaff</t>
  </si>
  <si>
    <t>Từ ngày: 29/6/2026</t>
  </si>
  <si>
    <t>Đến ngày: 3/7/2026</t>
  </si>
  <si>
    <t>Từ ngày: 6/7/2026</t>
  </si>
  <si>
    <t>Đến ngày: 10/7/2026</t>
  </si>
  <si>
    <t>Hỗ trợ dữ liệu, phản hồi KH &amp; test SCVN</t>
  </si>
  <si>
    <t>PVP</t>
  </si>
  <si>
    <t xml:space="preserve">Kiểm tra dữ liệu &amp; Chuẩn bị đào tạo UAT </t>
  </si>
  <si>
    <t xml:space="preserve">Test Quản trị nhân tài </t>
  </si>
  <si>
    <t>Họp nội bộ</t>
  </si>
  <si>
    <t xml:space="preserve">Kế hoạch tuần tới (29/6/2026 -&gt; 3/7/2026) </t>
  </si>
  <si>
    <t>Đào tạo PVP Hà Tĩnh</t>
  </si>
  <si>
    <t>Hỗ trợ triển khai &amp; test Histaff  TVC</t>
  </si>
  <si>
    <t xml:space="preserve">Làm bộ Slide HDSD KMS </t>
  </si>
  <si>
    <t>Từ ngày: 23/3/2026</t>
  </si>
  <si>
    <t>Đến ngày: 27/3/2026</t>
  </si>
  <si>
    <t>Từ ngày: 30/3/2026</t>
  </si>
  <si>
    <t>Đến ngày: 3/4/2026</t>
  </si>
  <si>
    <t>Hoàn thiện URD Lộ trình công danh</t>
  </si>
  <si>
    <t>Test task done quản trị tri thức (sau khi build)</t>
  </si>
  <si>
    <t>Chuẩn bị nội dung khảo sát Lộ trình công danh &amp; Quản trị tài năng</t>
  </si>
  <si>
    <t>Khảo sát Lộ trình công danh</t>
  </si>
  <si>
    <t>Tiếp nhận bàn giao SCVN</t>
  </si>
  <si>
    <t>Hỗ trợ phản hồi KH</t>
  </si>
  <si>
    <t>Tham gia họp 4 dự án nhà P</t>
  </si>
  <si>
    <t xml:space="preserve">Kế hoạch tuần tới (30/3/2026 -&gt;  3/4/2026) </t>
  </si>
  <si>
    <t>Chỉnh sửa tài liệu BSR phát sinh yêu cầu (nếu có)</t>
  </si>
  <si>
    <t>Khảo sát Quản trị tài năng</t>
  </si>
  <si>
    <t xml:space="preserve">Chưa thực hiện </t>
  </si>
  <si>
    <t xml:space="preserve">Log task Lộ trình công danh - nếu phê duyệt tài liệu </t>
  </si>
  <si>
    <t>Từ ngày: 9/3/2026</t>
  </si>
  <si>
    <t>Đến ngày: 13/3/2026</t>
  </si>
  <si>
    <t>Từ ngày: 16/3/2026</t>
  </si>
  <si>
    <t>Đến ngày: 20/3/2026</t>
  </si>
  <si>
    <t>Phân tích yêu cầu khách hàng &amp; chỉnh sửa tài liệu Quản trị tri thức</t>
  </si>
  <si>
    <t>Họp khách hàng SSI</t>
  </si>
  <si>
    <t>Làm biên bản họp SSI</t>
  </si>
  <si>
    <t>Làm tài liệu thầu CIC</t>
  </si>
  <si>
    <t>Sửa giao diện demo Quản trị tài năng</t>
  </si>
  <si>
    <t xml:space="preserve">Kế hoạch tuần tới (16/3/2026 -&gt;  20/3/2026) </t>
  </si>
  <si>
    <t xml:space="preserve">Hoàn thiện URD &amp; giao diện demo Quản trị tài năng </t>
  </si>
  <si>
    <t>Chỉnh sửa tài liệu Quản trị tri thức phát sinh yêu cầu (nếu có)</t>
  </si>
  <si>
    <t>Từ ngày: 23/2/2026</t>
  </si>
  <si>
    <t>Đến ngày: 28/2/2026</t>
  </si>
  <si>
    <t>Từ ngày: 2/3/2026</t>
  </si>
  <si>
    <t>Đến ngày: 6/3/2026</t>
  </si>
  <si>
    <t>Tiếp nhận tài liệu Quản trị tri thức</t>
  </si>
  <si>
    <t xml:space="preserve">Viết URD &amp; sửa giao diện mock-up Quản trị tài năng </t>
  </si>
  <si>
    <t>Chuẩn bị nội dung họp  promt generated nội dung biên bản khảo sát</t>
  </si>
  <si>
    <t>Họp với khách hàng &amp; bổ sung tài liệu KMS</t>
  </si>
  <si>
    <t xml:space="preserve">Kế hoạch tuần tới (2/3/2026 -&gt;  6/3/2026) </t>
  </si>
  <si>
    <t xml:space="preserve">Hoàn thành URD mock-up Quản trị tài năng </t>
  </si>
  <si>
    <t>Hoàn thiện promt generated nội dung biên bản khảo sát</t>
  </si>
  <si>
    <t>Hoàn thiện tài liệu báo cáo KMS</t>
  </si>
  <si>
    <t>CLB_CONGNGHE</t>
  </si>
  <si>
    <t xml:space="preserve">Tổng hợp hoạt động nghiên cứu AI đầu năm </t>
  </si>
  <si>
    <t>Từ ngày: 2/2/2026</t>
  </si>
  <si>
    <t>Đến ngày: 6/2/2026</t>
  </si>
  <si>
    <t>Từ ngày: 9/2/2026</t>
  </si>
  <si>
    <t>Đến ngày: 13/2/2026</t>
  </si>
  <si>
    <t xml:space="preserve">Phân tích &amp; thiết kế mock-up Quản trị tài năng </t>
  </si>
  <si>
    <t xml:space="preserve">Viết URD mock-up Quản trị tài năng </t>
  </si>
  <si>
    <t xml:space="preserve">Kế hoạch tuần tới (9/2/2026 -&gt;  13/2/2026) </t>
  </si>
  <si>
    <t>Từ ngày: 26/1/2026</t>
  </si>
  <si>
    <t>Đến ngày: 30/1/2026</t>
  </si>
  <si>
    <t xml:space="preserve">Test task Đảng viên </t>
  </si>
  <si>
    <t xml:space="preserve">Phân tích &amp; log task biểu mẫu </t>
  </si>
  <si>
    <t xml:space="preserve">Log bug &amp; task bổ sung Đảng viên </t>
  </si>
  <si>
    <t>Thiết kế mookup Quản trị tài năng</t>
  </si>
  <si>
    <t xml:space="preserve">Kế hoạch tuần tới (2/2/2026 -&gt; 6/2/2026) </t>
  </si>
  <si>
    <t>Thiết kế mookup Quản trị tài năng &amp; Lộ trình công danh</t>
  </si>
  <si>
    <t>Thiết lập quy trình Quản trị tài năng &amp; Lộ trình công danh</t>
  </si>
  <si>
    <t xml:space="preserve">Hoàn thiện công việc phát sinh (nếu có) </t>
  </si>
  <si>
    <t>Hỗ trợ triển khai KMS</t>
  </si>
  <si>
    <t>Từ ngày: 19/1/2026</t>
  </si>
  <si>
    <t>Đến ngày: 23/1/2026</t>
  </si>
  <si>
    <t xml:space="preserve">Phân tích &amp; log task file template excel import </t>
  </si>
  <si>
    <t>Sửa &amp; Test kịch bản UAT</t>
  </si>
  <si>
    <t>Đào tạo KH UAT</t>
  </si>
  <si>
    <t>Sửa URD</t>
  </si>
  <si>
    <t xml:space="preserve">Log bổ sung task tab Hồ sơ </t>
  </si>
  <si>
    <t xml:space="preserve">Kế hoạch tuần tới (26/1/2026 -&gt; 30/1/2026) </t>
  </si>
  <si>
    <t xml:space="preserve">Sửa URD theo yêu cầu KH (nếu có) </t>
  </si>
  <si>
    <t>Từ ngày: 12/1/2026</t>
  </si>
  <si>
    <t>Đến ngày: 16/1/2026</t>
  </si>
  <si>
    <t>Hoàn thiện kịch bản UAT</t>
  </si>
  <si>
    <t>Mapping biểu mẫu phân hệ Đảng</t>
  </si>
  <si>
    <t xml:space="preserve">Phân tích biểu mẫu &amp; làm việc với KH chốt biểu mẫu </t>
  </si>
  <si>
    <t xml:space="preserve">Kế hoạch tuần tới (19/1/2026 -&gt; 23/1/2026) </t>
  </si>
  <si>
    <t>Từ ngày: 05/10/2026</t>
  </si>
  <si>
    <t>Đến ngày: 09/10/2026</t>
  </si>
  <si>
    <t>Hỗ trợ sử dụng Histaff</t>
  </si>
  <si>
    <t>Từ ngày: 12/10/2026</t>
  </si>
  <si>
    <t>Đến ngày: 16/10/2026</t>
  </si>
  <si>
    <t xml:space="preserve">Kế hoạch tuần tới (12/10/2026 -&gt; 16/10/2026) </t>
  </si>
  <si>
    <t>Sửa tài liệu URD: KMS, Lộ trình công danh, Quản trị tài năng, Lương 3P</t>
  </si>
  <si>
    <t>Log task Portal BSR</t>
  </si>
  <si>
    <t>Log task Lương 3P, Quản trị tài năng sau UAT</t>
  </si>
  <si>
    <t>Họp với Khách hàng</t>
  </si>
  <si>
    <t>Phản hồi KH &amp; test SCVN</t>
  </si>
  <si>
    <t xml:space="preserve">Log bổ sung task portal </t>
  </si>
  <si>
    <t>Sửa tài liệu URD Quản trị tài năng</t>
  </si>
  <si>
    <t>Trả lời thầu c Lan</t>
  </si>
  <si>
    <t>Test task BSR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</si>
</sst>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/mm\/yyyy"/>
  </numFmts>
  <fonts count="16" x14ac:knownFonts="1">
    <font>
      <sz val="11"/>
      <color theme="1"/>
      <name val="Arial"/>
      <scheme val="minor"/>
    </font>
    <font>
      <b/>
      <sz val="16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1"/>
      <name val="Arial"/>
    </font>
    <font>
      <sz val="10"/>
      <color rgb="FF000000"/>
      <name val="Arial"/>
    </font>
    <font>
      <sz val="11"/>
      <color theme="1"/>
      <name val="Arial"/>
    </font>
    <font>
      <sz val="12"/>
      <color rgb="FF000000"/>
      <name val="Times New Roman"/>
    </font>
    <font>
      <sz val="11"/>
      <color theme="1"/>
      <name val="Times New Roman"/>
    </font>
    <font>
      <sz val="11"/>
      <color rgb="FF2503B5"/>
      <name val="Times New Roman"/>
    </font>
    <font>
      <sz val="10"/>
      <color theme="1"/>
      <name val="Arial"/>
    </font>
    <font>
      <sz val="10"/>
      <color rgb="FF000000"/>
      <name val="Calibri"/>
    </font>
    <font>
      <b/>
      <sz val="12"/>
      <color rgb="FF000000"/>
      <name val="Times New Roman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rgb="FFFBDAD7"/>
        <bgColor rgb="FFFBDAD7"/>
      </patternFill>
    </fill>
    <fill>
      <patternFill patternType="solid">
        <fgColor rgb="FFF7CAC9"/>
        <bgColor rgb="FFF7CAC9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1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0" xfId="0" applyFont="1"/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14" fontId="5" fillId="0" borderId="2" xfId="0" applyNumberFormat="1" applyFont="1" applyBorder="1" applyAlignment="1">
      <alignment horizontal="right" vertical="center"/>
    </xf>
    <xf numFmtId="14" fontId="5" fillId="0" borderId="7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14" fontId="7" fillId="0" borderId="2" xfId="0" applyNumberFormat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8" fillId="0" borderId="0" xfId="0" applyFont="1" applyAlignment="1">
      <alignment horizontal="left" vertical="center"/>
    </xf>
    <xf numFmtId="0" fontId="2" fillId="0" borderId="2" xfId="0" applyFont="1" applyBorder="1"/>
    <xf numFmtId="0" fontId="2" fillId="0" borderId="0" xfId="0" applyFont="1"/>
    <xf numFmtId="14" fontId="5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6" fillId="0" borderId="2" xfId="0" applyFont="1" applyBorder="1"/>
    <xf numFmtId="0" fontId="2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/>
    </xf>
    <xf numFmtId="14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5" fillId="0" borderId="9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14" fontId="5" fillId="4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10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10" fontId="3" fillId="2" borderId="2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 vertical="center"/>
    </xf>
    <xf numFmtId="9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12" fillId="0" borderId="7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0" fontId="6" fillId="0" borderId="0" xfId="0" applyNumberFormat="1" applyFont="1"/>
    <xf numFmtId="0" fontId="2" fillId="0" borderId="2" xfId="0" applyFont="1" applyBorder="1" applyAlignment="1">
      <alignment horizontal="left" wrapText="1"/>
    </xf>
    <xf numFmtId="164" fontId="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3" borderId="13" xfId="0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4" fontId="5" fillId="0" borderId="6" xfId="0" applyNumberFormat="1" applyFont="1" applyBorder="1" applyAlignment="1">
      <alignment vertical="center"/>
    </xf>
    <xf numFmtId="14" fontId="5" fillId="0" borderId="6" xfId="0" applyNumberFormat="1" applyFont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vertical="center"/>
    </xf>
    <xf numFmtId="14" fontId="5" fillId="0" borderId="13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wrapText="1"/>
    </xf>
    <xf numFmtId="0" fontId="14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165" fontId="13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3" fillId="0" borderId="1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3" xfId="0" applyFont="1" applyBorder="1"/>
    <xf numFmtId="0" fontId="2" fillId="0" borderId="5" xfId="0" applyFont="1" applyBorder="1" applyAlignment="1">
      <alignment horizontal="center" vertical="center"/>
    </xf>
    <xf numFmtId="0" fontId="4" fillId="0" borderId="5" xfId="0" applyFont="1" applyBorder="1"/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0" fontId="9" fillId="0" borderId="8" xfId="0" applyFont="1" applyBorder="1" applyAlignment="1">
      <alignment horizontal="left" vertical="center"/>
    </xf>
    <xf numFmtId="0" fontId="4" fillId="0" borderId="10" xfId="0" applyFont="1" applyBorder="1"/>
    <xf numFmtId="0" fontId="4" fillId="0" borderId="12" xfId="0" applyFont="1" applyBorder="1"/>
    <xf numFmtId="0" fontId="9" fillId="0" borderId="13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2.625" defaultRowHeight="15" customHeight="1" x14ac:dyDescent="0.2"/>
  <cols>
    <col min="1" max="1" width="8.625" customWidth="1"/>
    <col min="2" max="2" width="20.375" customWidth="1"/>
    <col min="3" max="3" width="70.875" customWidth="1"/>
    <col min="4" max="6" width="23.5" customWidth="1"/>
    <col min="7" max="7" width="14.875" customWidth="1"/>
    <col min="8" max="10" width="8.625" customWidth="1"/>
  </cols>
  <sheetData>
    <row r="1" spans="1:10" ht="14.25" customHeight="1" x14ac:dyDescent="0.2">
      <c r="A1" s="103" t="s">
        <v>0</v>
      </c>
      <c r="B1" s="104"/>
      <c r="C1" s="104"/>
      <c r="D1" s="104"/>
      <c r="E1" s="104"/>
      <c r="F1" s="104"/>
      <c r="G1" s="104"/>
      <c r="H1" s="2"/>
      <c r="I1" s="2"/>
      <c r="J1" s="2"/>
    </row>
    <row r="2" spans="1:10" ht="14.25" customHeight="1" x14ac:dyDescent="0.2">
      <c r="A2" s="2"/>
      <c r="B2" s="2"/>
      <c r="C2" s="4"/>
      <c r="D2" s="2" t="s">
        <v>1</v>
      </c>
      <c r="E2" s="2" t="s">
        <v>2</v>
      </c>
      <c r="F2" s="2"/>
      <c r="G2" s="2"/>
      <c r="H2" s="2"/>
      <c r="I2" s="2"/>
      <c r="J2" s="2"/>
    </row>
    <row r="3" spans="1:10" ht="14.25" customHeight="1" x14ac:dyDescent="0.2">
      <c r="A3" s="5" t="s">
        <v>3</v>
      </c>
      <c r="B3" s="5" t="s">
        <v>4</v>
      </c>
      <c r="C3" s="4"/>
      <c r="D3" s="2"/>
      <c r="E3" s="2"/>
      <c r="F3" s="2"/>
      <c r="G3" s="2"/>
      <c r="H3" s="2"/>
      <c r="I3" s="2"/>
      <c r="J3" s="2"/>
    </row>
    <row r="4" spans="1:10" ht="14.25" customHeight="1" x14ac:dyDescent="0.2">
      <c r="A4" s="2"/>
      <c r="B4" s="2"/>
      <c r="C4" s="4"/>
      <c r="D4" s="2"/>
      <c r="E4" s="2"/>
      <c r="F4" s="2"/>
      <c r="G4" s="2"/>
      <c r="H4" s="2"/>
      <c r="I4" s="2"/>
      <c r="J4" s="2"/>
    </row>
    <row r="5" spans="1:10" ht="14.25" customHeight="1" x14ac:dyDescent="0.2">
      <c r="A5" s="105" t="s">
        <v>5</v>
      </c>
      <c r="B5" s="106"/>
      <c r="C5" s="106"/>
      <c r="D5" s="106"/>
      <c r="E5" s="106"/>
      <c r="F5" s="106"/>
      <c r="G5" s="106"/>
      <c r="H5" s="2"/>
      <c r="I5" s="2"/>
      <c r="J5" s="2"/>
    </row>
    <row r="6" spans="1:10" ht="14.25" customHeight="1" x14ac:dyDescent="0.2">
      <c r="A6" s="7" t="s">
        <v>6</v>
      </c>
      <c r="B6" s="8" t="s">
        <v>7</v>
      </c>
      <c r="C6" s="8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4"/>
      <c r="I6" s="2"/>
      <c r="J6" s="2"/>
    </row>
    <row r="7" spans="1:10" ht="14.25" customHeight="1" x14ac:dyDescent="0.2">
      <c r="A7" s="10">
        <v>1</v>
      </c>
      <c r="B7" s="8" t="s">
        <v>13</v>
      </c>
      <c r="C7" s="11" t="s">
        <v>14</v>
      </c>
      <c r="D7" s="13">
        <v>45544</v>
      </c>
      <c r="E7" s="13">
        <v>45605</v>
      </c>
      <c r="F7" s="15">
        <v>31.25</v>
      </c>
      <c r="G7" s="14" t="s">
        <v>15</v>
      </c>
      <c r="H7" s="4"/>
      <c r="I7" s="2"/>
      <c r="J7" s="2"/>
    </row>
    <row r="8" spans="1:10" ht="14.25" customHeight="1" x14ac:dyDescent="0.2">
      <c r="A8" s="10">
        <f t="shared" ref="A8:A13" si="0">A7+1</f>
        <v>2</v>
      </c>
      <c r="B8" s="107" t="s">
        <v>16</v>
      </c>
      <c r="C8" s="12" t="s">
        <v>17</v>
      </c>
      <c r="D8" s="13">
        <v>45544</v>
      </c>
      <c r="E8" s="13">
        <v>45544</v>
      </c>
      <c r="F8" s="15">
        <v>41.25</v>
      </c>
      <c r="G8" s="14" t="s">
        <v>18</v>
      </c>
      <c r="H8" s="4"/>
      <c r="I8" s="2"/>
      <c r="J8" s="2"/>
    </row>
    <row r="9" spans="1:10" ht="15" customHeight="1" x14ac:dyDescent="0.2">
      <c r="A9" s="10">
        <f t="shared" si="0"/>
        <v>3</v>
      </c>
      <c r="B9" s="108"/>
      <c r="C9" s="12" t="s">
        <v>19</v>
      </c>
      <c r="D9" s="13">
        <v>45544</v>
      </c>
      <c r="E9" s="13">
        <v>45544</v>
      </c>
      <c r="F9" s="15">
        <v>5</v>
      </c>
      <c r="G9" s="14" t="s">
        <v>18</v>
      </c>
      <c r="H9" s="4"/>
      <c r="I9" s="2"/>
      <c r="J9" s="2"/>
    </row>
    <row r="10" spans="1:10" ht="15" customHeight="1" x14ac:dyDescent="0.2">
      <c r="A10" s="10">
        <f t="shared" si="0"/>
        <v>4</v>
      </c>
      <c r="B10" s="109"/>
      <c r="C10" s="12" t="s">
        <v>20</v>
      </c>
      <c r="D10" s="13">
        <v>45635</v>
      </c>
      <c r="E10" s="13" t="s">
        <v>21</v>
      </c>
      <c r="F10" s="15">
        <v>12.5</v>
      </c>
      <c r="G10" s="14" t="s">
        <v>15</v>
      </c>
      <c r="H10" s="4"/>
      <c r="I10" s="2"/>
      <c r="J10" s="2"/>
    </row>
    <row r="11" spans="1:10" ht="14.25" customHeight="1" x14ac:dyDescent="0.2">
      <c r="A11" s="10">
        <f t="shared" si="0"/>
        <v>5</v>
      </c>
      <c r="B11" s="107" t="s">
        <v>22</v>
      </c>
      <c r="C11" s="12" t="s">
        <v>23</v>
      </c>
      <c r="D11" s="13">
        <v>45574</v>
      </c>
      <c r="E11" s="13">
        <v>45574</v>
      </c>
      <c r="F11" s="15">
        <v>5</v>
      </c>
      <c r="G11" s="14" t="s">
        <v>18</v>
      </c>
      <c r="H11" s="4"/>
      <c r="I11" s="2"/>
      <c r="J11" s="2"/>
    </row>
    <row r="12" spans="1:10" ht="14.25" customHeight="1" x14ac:dyDescent="0.2">
      <c r="A12" s="10">
        <f t="shared" si="0"/>
        <v>6</v>
      </c>
      <c r="B12" s="108"/>
      <c r="C12" s="12" t="s">
        <v>24</v>
      </c>
      <c r="D12" s="13">
        <v>45544</v>
      </c>
      <c r="E12" s="13">
        <v>45544</v>
      </c>
      <c r="F12" s="15">
        <v>2</v>
      </c>
      <c r="G12" s="14" t="s">
        <v>18</v>
      </c>
      <c r="H12" s="4"/>
      <c r="I12" s="2"/>
      <c r="J12" s="2"/>
    </row>
    <row r="13" spans="1:10" ht="14.25" customHeight="1" x14ac:dyDescent="0.2">
      <c r="A13" s="10">
        <f t="shared" si="0"/>
        <v>7</v>
      </c>
      <c r="B13" s="109"/>
      <c r="C13" s="12" t="s">
        <v>25</v>
      </c>
      <c r="D13" s="13" t="s">
        <v>21</v>
      </c>
      <c r="E13" s="13" t="s">
        <v>21</v>
      </c>
      <c r="F13" s="15">
        <v>3</v>
      </c>
      <c r="G13" s="14" t="s">
        <v>15</v>
      </c>
      <c r="H13" s="4"/>
      <c r="I13" s="2"/>
      <c r="J13" s="2"/>
    </row>
    <row r="14" spans="1:10" ht="14.25" customHeight="1" x14ac:dyDescent="0.2">
      <c r="A14" s="110"/>
      <c r="B14" s="111"/>
      <c r="C14" s="4"/>
      <c r="D14" s="18"/>
      <c r="E14" s="18"/>
      <c r="F14" s="18"/>
      <c r="G14" s="4"/>
      <c r="H14" s="2"/>
      <c r="I14" s="2"/>
      <c r="J14" s="2"/>
    </row>
    <row r="15" spans="1:10" ht="14.25" customHeight="1" x14ac:dyDescent="0.2">
      <c r="A15" s="17"/>
      <c r="B15" s="4"/>
      <c r="C15" s="4"/>
      <c r="D15" s="18"/>
      <c r="E15" s="18"/>
      <c r="F15" s="18"/>
      <c r="G15" s="4"/>
      <c r="H15" s="2"/>
      <c r="I15" s="2"/>
      <c r="J15" s="2"/>
    </row>
    <row r="16" spans="1:10" ht="14.25" customHeight="1" x14ac:dyDescent="0.2">
      <c r="A16" s="17"/>
      <c r="B16" s="4"/>
      <c r="H16" s="2"/>
      <c r="I16" s="2"/>
      <c r="J16" s="2"/>
    </row>
    <row r="17" spans="1:10" ht="14.25" customHeight="1" x14ac:dyDescent="0.2">
      <c r="A17" s="17"/>
      <c r="B17" s="4"/>
      <c r="C17" s="4"/>
      <c r="D17" s="18"/>
      <c r="E17" s="18"/>
      <c r="H17" s="2"/>
      <c r="I17" s="2"/>
      <c r="J17" s="2"/>
    </row>
    <row r="18" spans="1:10" ht="14.25" customHeight="1" x14ac:dyDescent="0.2"/>
    <row r="19" spans="1:10" ht="14.25" customHeight="1" x14ac:dyDescent="0.2"/>
    <row r="20" spans="1:10" ht="14.25" customHeight="1" x14ac:dyDescent="0.2"/>
    <row r="21" spans="1:10" ht="14.25" customHeight="1" x14ac:dyDescent="0.2"/>
    <row r="22" spans="1:10" ht="14.25" customHeight="1" x14ac:dyDescent="0.2"/>
    <row r="23" spans="1:10" ht="14.25" customHeight="1" x14ac:dyDescent="0.2"/>
    <row r="24" spans="1:10" ht="14.25" customHeight="1" x14ac:dyDescent="0.2"/>
    <row r="25" spans="1:10" ht="14.25" customHeight="1" x14ac:dyDescent="0.2"/>
    <row r="26" spans="1:10" ht="14.25" customHeight="1" x14ac:dyDescent="0.2"/>
    <row r="27" spans="1:10" ht="14.25" customHeight="1" x14ac:dyDescent="0.2"/>
    <row r="28" spans="1:10" ht="14.25" customHeight="1" x14ac:dyDescent="0.2"/>
    <row r="29" spans="1:10" ht="14.25" customHeight="1" x14ac:dyDescent="0.2"/>
    <row r="30" spans="1:10" ht="14.25" customHeight="1" x14ac:dyDescent="0.2"/>
    <row r="31" spans="1:10" ht="14.25" customHeight="1" x14ac:dyDescent="0.2"/>
    <row r="32" spans="1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A1:G1"/>
    <mergeCell ref="A5:G5"/>
    <mergeCell ref="B8:B10"/>
    <mergeCell ref="B11:B13"/>
    <mergeCell ref="A14:B1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2.625" defaultRowHeight="15" customHeight="1" x14ac:dyDescent="0.2"/>
  <cols>
    <col min="1" max="1" width="8.625" customWidth="1"/>
    <col min="2" max="2" width="20.375" customWidth="1"/>
    <col min="3" max="3" width="70.875" customWidth="1"/>
    <col min="4" max="6" width="23.5" customWidth="1"/>
    <col min="7" max="7" width="16.875" customWidth="1"/>
    <col min="8" max="10" width="8.625" customWidth="1"/>
  </cols>
  <sheetData>
    <row r="1" spans="1:10" ht="14.25" customHeight="1" x14ac:dyDescent="0.2">
      <c r="A1" s="103" t="s">
        <v>0</v>
      </c>
      <c r="B1" s="104"/>
      <c r="C1" s="104"/>
      <c r="D1" s="104"/>
      <c r="E1" s="104"/>
      <c r="F1" s="104"/>
      <c r="G1" s="104"/>
      <c r="H1" s="2"/>
      <c r="I1" s="2"/>
      <c r="J1" s="2"/>
    </row>
    <row r="2" spans="1:10" ht="14.25" customHeight="1" x14ac:dyDescent="0.2">
      <c r="A2" s="2"/>
      <c r="B2" s="3"/>
      <c r="C2" s="4"/>
      <c r="D2" s="2" t="s">
        <v>26</v>
      </c>
      <c r="E2" s="2" t="s">
        <v>27</v>
      </c>
      <c r="F2" s="2"/>
      <c r="G2" s="2"/>
      <c r="H2" s="2"/>
      <c r="I2" s="2"/>
      <c r="J2" s="2"/>
    </row>
    <row r="3" spans="1:10" ht="14.25" customHeight="1" x14ac:dyDescent="0.2">
      <c r="A3" s="5" t="s">
        <v>3</v>
      </c>
      <c r="B3" s="6" t="s">
        <v>4</v>
      </c>
      <c r="C3" s="4"/>
      <c r="D3" s="2"/>
      <c r="E3" s="2"/>
      <c r="F3" s="2"/>
      <c r="G3" s="2"/>
      <c r="H3" s="2"/>
      <c r="I3" s="2"/>
      <c r="J3" s="2"/>
    </row>
    <row r="4" spans="1:10" ht="14.25" customHeight="1" x14ac:dyDescent="0.2">
      <c r="A4" s="2"/>
      <c r="B4" s="3"/>
      <c r="C4" s="4"/>
      <c r="D4" s="2"/>
      <c r="E4" s="2"/>
      <c r="F4" s="2"/>
      <c r="G4" s="2"/>
      <c r="H4" s="2"/>
      <c r="I4" s="2"/>
      <c r="J4" s="2"/>
    </row>
    <row r="5" spans="1:10" ht="14.25" customHeight="1" x14ac:dyDescent="0.2">
      <c r="A5" s="105" t="s">
        <v>5</v>
      </c>
      <c r="B5" s="106"/>
      <c r="C5" s="106"/>
      <c r="D5" s="106"/>
      <c r="E5" s="106"/>
      <c r="F5" s="106"/>
      <c r="G5" s="106"/>
      <c r="H5" s="2"/>
      <c r="I5" s="2"/>
      <c r="J5" s="2"/>
    </row>
    <row r="6" spans="1:10" ht="14.25" customHeight="1" x14ac:dyDescent="0.2">
      <c r="A6" s="7" t="s">
        <v>6</v>
      </c>
      <c r="B6" s="8" t="s">
        <v>7</v>
      </c>
      <c r="C6" s="8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2"/>
      <c r="I6" s="2"/>
      <c r="J6" s="2"/>
    </row>
    <row r="7" spans="1:10" ht="14.25" customHeight="1" x14ac:dyDescent="0.2">
      <c r="A7" s="10">
        <v>1</v>
      </c>
      <c r="B7" s="107" t="s">
        <v>13</v>
      </c>
      <c r="C7" s="11" t="s">
        <v>28</v>
      </c>
      <c r="D7" s="13" t="s">
        <v>29</v>
      </c>
      <c r="E7" s="13" t="s">
        <v>29</v>
      </c>
      <c r="F7" s="15">
        <v>3.125</v>
      </c>
      <c r="G7" s="14" t="s">
        <v>18</v>
      </c>
      <c r="H7" s="2"/>
      <c r="I7" s="2"/>
      <c r="J7" s="2"/>
    </row>
    <row r="8" spans="1:10" ht="14.25" customHeight="1" x14ac:dyDescent="0.2">
      <c r="A8" s="10">
        <f t="shared" ref="A8:A13" si="0">A7+1</f>
        <v>2</v>
      </c>
      <c r="B8" s="109"/>
      <c r="C8" s="11" t="s">
        <v>30</v>
      </c>
      <c r="D8" s="13" t="s">
        <v>31</v>
      </c>
      <c r="E8" s="13" t="s">
        <v>31</v>
      </c>
      <c r="F8" s="15">
        <v>29.6875</v>
      </c>
      <c r="G8" s="14" t="s">
        <v>15</v>
      </c>
      <c r="H8" s="2"/>
      <c r="I8" s="2"/>
      <c r="J8" s="2"/>
    </row>
    <row r="9" spans="1:10" ht="14.25" customHeight="1" x14ac:dyDescent="0.2">
      <c r="A9" s="10">
        <f t="shared" si="0"/>
        <v>3</v>
      </c>
      <c r="B9" s="8" t="s">
        <v>32</v>
      </c>
      <c r="C9" s="11" t="s">
        <v>33</v>
      </c>
      <c r="D9" s="13" t="s">
        <v>29</v>
      </c>
      <c r="E9" s="13" t="s">
        <v>29</v>
      </c>
      <c r="F9" s="15">
        <v>9.375</v>
      </c>
      <c r="G9" s="14" t="s">
        <v>18</v>
      </c>
      <c r="H9" s="2"/>
      <c r="I9" s="2"/>
      <c r="J9" s="2"/>
    </row>
    <row r="10" spans="1:10" ht="14.25" customHeight="1" x14ac:dyDescent="0.2">
      <c r="A10" s="10">
        <f t="shared" si="0"/>
        <v>4</v>
      </c>
      <c r="B10" s="107" t="s">
        <v>34</v>
      </c>
      <c r="C10" s="11" t="s">
        <v>35</v>
      </c>
      <c r="D10" s="13" t="s">
        <v>29</v>
      </c>
      <c r="E10" s="13" t="s">
        <v>29</v>
      </c>
      <c r="F10" s="15">
        <v>40.625</v>
      </c>
      <c r="G10" s="14" t="s">
        <v>15</v>
      </c>
      <c r="H10" s="2"/>
      <c r="I10" s="2"/>
      <c r="J10" s="2"/>
    </row>
    <row r="11" spans="1:10" ht="14.25" customHeight="1" x14ac:dyDescent="0.2">
      <c r="A11" s="10">
        <f t="shared" si="0"/>
        <v>5</v>
      </c>
      <c r="B11" s="108"/>
      <c r="C11" s="11" t="s">
        <v>36</v>
      </c>
      <c r="D11" s="13" t="s">
        <v>37</v>
      </c>
      <c r="E11" s="13" t="s">
        <v>37</v>
      </c>
      <c r="F11" s="15">
        <v>6.25</v>
      </c>
      <c r="G11" s="14" t="s">
        <v>15</v>
      </c>
      <c r="H11" s="2"/>
      <c r="I11" s="2"/>
      <c r="J11" s="2"/>
    </row>
    <row r="12" spans="1:10" ht="14.25" customHeight="1" x14ac:dyDescent="0.2">
      <c r="A12" s="10">
        <f t="shared" si="0"/>
        <v>6</v>
      </c>
      <c r="B12" s="109"/>
      <c r="C12" s="11" t="s">
        <v>38</v>
      </c>
      <c r="D12" s="13" t="s">
        <v>37</v>
      </c>
      <c r="E12" s="13" t="s">
        <v>37</v>
      </c>
      <c r="F12" s="15">
        <v>6.25</v>
      </c>
      <c r="G12" s="14" t="s">
        <v>18</v>
      </c>
      <c r="H12" s="2"/>
      <c r="I12" s="2"/>
      <c r="J12" s="2"/>
    </row>
    <row r="13" spans="1:10" ht="14.25" customHeight="1" x14ac:dyDescent="0.2">
      <c r="A13" s="10">
        <f t="shared" si="0"/>
        <v>7</v>
      </c>
      <c r="B13" s="8" t="s">
        <v>22</v>
      </c>
      <c r="C13" s="11" t="s">
        <v>25</v>
      </c>
      <c r="D13" s="13" t="s">
        <v>29</v>
      </c>
      <c r="E13" s="13" t="s">
        <v>29</v>
      </c>
      <c r="F13" s="15">
        <v>4.6875</v>
      </c>
      <c r="G13" s="14" t="s">
        <v>18</v>
      </c>
      <c r="H13" s="2"/>
      <c r="I13" s="2"/>
      <c r="J13" s="2"/>
    </row>
    <row r="14" spans="1:10" ht="14.25" customHeight="1" x14ac:dyDescent="0.2">
      <c r="A14" s="17"/>
      <c r="B14" s="19"/>
      <c r="C14" s="4"/>
      <c r="D14" s="18"/>
      <c r="E14" s="18"/>
      <c r="F14" s="18"/>
      <c r="G14" s="4"/>
      <c r="H14" s="2"/>
      <c r="I14" s="2"/>
      <c r="J14" s="2"/>
    </row>
    <row r="15" spans="1:10" ht="14.25" customHeight="1" x14ac:dyDescent="0.2">
      <c r="A15" s="17"/>
      <c r="B15" s="19"/>
      <c r="C15" s="19"/>
      <c r="D15" s="19"/>
      <c r="E15" s="19"/>
      <c r="F15" s="19"/>
      <c r="G15" s="19"/>
      <c r="H15" s="2"/>
      <c r="I15" s="2"/>
      <c r="J15" s="2"/>
    </row>
    <row r="16" spans="1:10" ht="14.25" customHeight="1" x14ac:dyDescent="0.2">
      <c r="A16" s="17"/>
      <c r="B16" s="19"/>
      <c r="C16" s="4"/>
      <c r="D16" s="18"/>
      <c r="E16" s="18"/>
      <c r="F16" s="18"/>
      <c r="G16" s="4"/>
      <c r="H16" s="2"/>
      <c r="I16" s="2"/>
      <c r="J16" s="2"/>
    </row>
    <row r="17" spans="2:8" ht="14.25" customHeight="1" x14ac:dyDescent="0.2">
      <c r="B17" s="19"/>
      <c r="C17" s="4"/>
      <c r="D17" s="18"/>
      <c r="E17" s="18"/>
      <c r="F17" s="18"/>
      <c r="G17" s="4"/>
      <c r="H17" s="2"/>
    </row>
    <row r="18" spans="2:8" ht="14.25" customHeight="1" x14ac:dyDescent="0.2">
      <c r="B18" s="19"/>
      <c r="C18" s="4"/>
      <c r="D18" s="18"/>
      <c r="E18" s="18"/>
      <c r="F18" s="18"/>
      <c r="G18" s="4"/>
      <c r="H18" s="2"/>
    </row>
    <row r="19" spans="2:8" ht="14.25" customHeight="1" x14ac:dyDescent="0.2">
      <c r="B19" s="19"/>
      <c r="C19" s="4"/>
      <c r="D19" s="18"/>
      <c r="E19" s="18"/>
      <c r="F19" s="18"/>
      <c r="G19" s="4"/>
      <c r="H19" s="2"/>
    </row>
    <row r="20" spans="2:8" ht="14.25" customHeight="1" x14ac:dyDescent="0.2">
      <c r="B20" s="19"/>
      <c r="C20" s="4"/>
      <c r="D20" s="18"/>
      <c r="E20" s="18"/>
      <c r="F20" s="18"/>
      <c r="G20" s="4"/>
      <c r="H20" s="2"/>
    </row>
    <row r="21" spans="2:8" ht="14.25" customHeight="1" x14ac:dyDescent="0.2">
      <c r="B21" s="19"/>
      <c r="C21" s="4"/>
      <c r="D21" s="18"/>
      <c r="E21" s="18"/>
      <c r="F21" s="18"/>
      <c r="G21" s="4"/>
      <c r="H21" s="2"/>
    </row>
    <row r="22" spans="2:8" ht="14.25" customHeight="1" x14ac:dyDescent="0.2">
      <c r="B22" s="19"/>
      <c r="C22" s="4"/>
      <c r="D22" s="18"/>
      <c r="E22" s="18"/>
      <c r="F22" s="18"/>
      <c r="G22" s="4"/>
      <c r="H22" s="2"/>
    </row>
    <row r="23" spans="2:8" ht="14.25" customHeight="1" x14ac:dyDescent="0.2">
      <c r="B23" s="19"/>
      <c r="C23" s="4"/>
      <c r="D23" s="18"/>
      <c r="E23" s="18"/>
      <c r="F23" s="18"/>
      <c r="G23" s="4"/>
      <c r="H23" s="2"/>
    </row>
    <row r="24" spans="2:8" ht="14.25" customHeight="1" x14ac:dyDescent="0.2">
      <c r="B24" s="19"/>
      <c r="C24" s="4"/>
      <c r="D24" s="18"/>
      <c r="E24" s="18"/>
      <c r="F24" s="18"/>
      <c r="G24" s="4"/>
      <c r="H24" s="2"/>
    </row>
    <row r="25" spans="2:8" ht="14.25" customHeight="1" x14ac:dyDescent="0.2">
      <c r="B25" s="19"/>
      <c r="C25" s="4"/>
      <c r="D25" s="18"/>
      <c r="E25" s="18"/>
      <c r="F25" s="18"/>
      <c r="G25" s="4"/>
      <c r="H25" s="2"/>
    </row>
    <row r="26" spans="2:8" ht="14.25" customHeight="1" x14ac:dyDescent="0.2">
      <c r="B26" s="19"/>
      <c r="C26" s="4"/>
      <c r="D26" s="18"/>
      <c r="E26" s="18"/>
      <c r="F26" s="18"/>
      <c r="G26" s="4"/>
      <c r="H26" s="2"/>
    </row>
    <row r="27" spans="2:8" ht="14.25" customHeight="1" x14ac:dyDescent="0.2">
      <c r="B27" s="19"/>
      <c r="C27" s="4"/>
      <c r="D27" s="18"/>
      <c r="E27" s="18"/>
      <c r="F27" s="18"/>
      <c r="G27" s="4"/>
      <c r="H27" s="2"/>
    </row>
    <row r="28" spans="2:8" ht="14.25" customHeight="1" x14ac:dyDescent="0.2">
      <c r="B28" s="19"/>
      <c r="C28" s="4"/>
      <c r="D28" s="18"/>
      <c r="E28" s="18"/>
      <c r="F28" s="18"/>
      <c r="G28" s="4"/>
      <c r="H28" s="2"/>
    </row>
    <row r="29" spans="2:8" ht="14.25" customHeight="1" x14ac:dyDescent="0.2">
      <c r="B29" s="19"/>
      <c r="C29" s="4"/>
      <c r="D29" s="18"/>
      <c r="E29" s="18"/>
      <c r="F29" s="18"/>
      <c r="G29" s="4"/>
      <c r="H29" s="2"/>
    </row>
    <row r="30" spans="2:8" ht="14.25" customHeight="1" x14ac:dyDescent="0.2">
      <c r="B30" s="19"/>
      <c r="C30" s="4"/>
      <c r="D30" s="18"/>
      <c r="E30" s="18"/>
      <c r="F30" s="18"/>
      <c r="G30" s="4"/>
      <c r="H30" s="2"/>
    </row>
    <row r="31" spans="2:8" ht="14.25" customHeight="1" x14ac:dyDescent="0.2">
      <c r="B31" s="19"/>
      <c r="C31" s="4"/>
      <c r="D31" s="18"/>
      <c r="E31" s="18"/>
      <c r="F31" s="18"/>
      <c r="G31" s="4"/>
      <c r="H31" s="2"/>
    </row>
    <row r="32" spans="2:8" ht="14.25" customHeight="1" x14ac:dyDescent="0.2">
      <c r="B32" s="19"/>
      <c r="C32" s="4"/>
      <c r="D32" s="18"/>
      <c r="E32" s="18"/>
      <c r="F32" s="18"/>
      <c r="G32" s="4"/>
      <c r="H32" s="2"/>
    </row>
    <row r="33" spans="2:8" ht="14.25" customHeight="1" x14ac:dyDescent="0.2">
      <c r="B33" s="19"/>
      <c r="C33" s="4"/>
      <c r="D33" s="18"/>
      <c r="E33" s="18"/>
      <c r="F33" s="18"/>
      <c r="G33" s="4"/>
      <c r="H33" s="2"/>
    </row>
    <row r="34" spans="2:8" ht="14.25" customHeight="1" x14ac:dyDescent="0.2">
      <c r="B34" s="20"/>
    </row>
    <row r="35" spans="2:8" ht="14.25" customHeight="1" x14ac:dyDescent="0.2">
      <c r="B35" s="20"/>
    </row>
    <row r="36" spans="2:8" ht="14.25" customHeight="1" x14ac:dyDescent="0.2">
      <c r="B36" s="20"/>
    </row>
    <row r="37" spans="2:8" ht="14.25" customHeight="1" x14ac:dyDescent="0.2">
      <c r="B37" s="20"/>
    </row>
    <row r="38" spans="2:8" ht="14.25" customHeight="1" x14ac:dyDescent="0.2">
      <c r="B38" s="20"/>
    </row>
    <row r="39" spans="2:8" ht="14.25" customHeight="1" x14ac:dyDescent="0.2">
      <c r="B39" s="20"/>
    </row>
    <row r="40" spans="2:8" ht="14.25" customHeight="1" x14ac:dyDescent="0.2">
      <c r="B40" s="20"/>
    </row>
    <row r="41" spans="2:8" ht="14.25" customHeight="1" x14ac:dyDescent="0.2">
      <c r="B41" s="20"/>
    </row>
    <row r="42" spans="2:8" ht="14.25" customHeight="1" x14ac:dyDescent="0.2">
      <c r="B42" s="20"/>
    </row>
    <row r="43" spans="2:8" ht="14.25" customHeight="1" x14ac:dyDescent="0.2">
      <c r="B43" s="20"/>
    </row>
    <row r="44" spans="2:8" ht="14.25" customHeight="1" x14ac:dyDescent="0.2">
      <c r="B44" s="20"/>
    </row>
    <row r="45" spans="2:8" ht="14.25" customHeight="1" x14ac:dyDescent="0.2">
      <c r="B45" s="20"/>
    </row>
    <row r="46" spans="2:8" ht="14.25" customHeight="1" x14ac:dyDescent="0.2">
      <c r="B46" s="20"/>
    </row>
    <row r="47" spans="2:8" ht="14.25" customHeight="1" x14ac:dyDescent="0.2">
      <c r="B47" s="20"/>
    </row>
    <row r="48" spans="2:8" ht="14.25" customHeight="1" x14ac:dyDescent="0.2">
      <c r="B48" s="20"/>
    </row>
    <row r="49" spans="2:2" ht="14.25" customHeight="1" x14ac:dyDescent="0.2">
      <c r="B49" s="20"/>
    </row>
    <row r="50" spans="2:2" ht="14.25" customHeight="1" x14ac:dyDescent="0.2">
      <c r="B50" s="20"/>
    </row>
    <row r="51" spans="2:2" ht="14.25" customHeight="1" x14ac:dyDescent="0.2">
      <c r="B51" s="20"/>
    </row>
    <row r="52" spans="2:2" ht="14.25" customHeight="1" x14ac:dyDescent="0.2">
      <c r="B52" s="20"/>
    </row>
    <row r="53" spans="2:2" ht="14.25" customHeight="1" x14ac:dyDescent="0.2">
      <c r="B53" s="20"/>
    </row>
    <row r="54" spans="2:2" ht="14.25" customHeight="1" x14ac:dyDescent="0.2">
      <c r="B54" s="20"/>
    </row>
    <row r="55" spans="2:2" ht="14.25" customHeight="1" x14ac:dyDescent="0.2">
      <c r="B55" s="20"/>
    </row>
    <row r="56" spans="2:2" ht="14.25" customHeight="1" x14ac:dyDescent="0.2">
      <c r="B56" s="20"/>
    </row>
    <row r="57" spans="2:2" ht="14.25" customHeight="1" x14ac:dyDescent="0.2">
      <c r="B57" s="20"/>
    </row>
    <row r="58" spans="2:2" ht="14.25" customHeight="1" x14ac:dyDescent="0.2">
      <c r="B58" s="20"/>
    </row>
    <row r="59" spans="2:2" ht="14.25" customHeight="1" x14ac:dyDescent="0.2">
      <c r="B59" s="20"/>
    </row>
    <row r="60" spans="2:2" ht="14.25" customHeight="1" x14ac:dyDescent="0.2">
      <c r="B60" s="20"/>
    </row>
    <row r="61" spans="2:2" ht="14.25" customHeight="1" x14ac:dyDescent="0.2">
      <c r="B61" s="20"/>
    </row>
    <row r="62" spans="2:2" ht="14.25" customHeight="1" x14ac:dyDescent="0.2">
      <c r="B62" s="20"/>
    </row>
    <row r="63" spans="2:2" ht="14.25" customHeight="1" x14ac:dyDescent="0.2">
      <c r="B63" s="20"/>
    </row>
    <row r="64" spans="2:2" ht="14.25" customHeight="1" x14ac:dyDescent="0.2">
      <c r="B64" s="20"/>
    </row>
    <row r="65" spans="2:2" ht="14.25" customHeight="1" x14ac:dyDescent="0.2">
      <c r="B65" s="20"/>
    </row>
    <row r="66" spans="2:2" ht="14.25" customHeight="1" x14ac:dyDescent="0.2">
      <c r="B66" s="20"/>
    </row>
    <row r="67" spans="2:2" ht="14.25" customHeight="1" x14ac:dyDescent="0.2">
      <c r="B67" s="20"/>
    </row>
    <row r="68" spans="2:2" ht="14.25" customHeight="1" x14ac:dyDescent="0.2">
      <c r="B68" s="20"/>
    </row>
    <row r="69" spans="2:2" ht="14.25" customHeight="1" x14ac:dyDescent="0.2">
      <c r="B69" s="20"/>
    </row>
    <row r="70" spans="2:2" ht="14.25" customHeight="1" x14ac:dyDescent="0.2">
      <c r="B70" s="20"/>
    </row>
    <row r="71" spans="2:2" ht="14.25" customHeight="1" x14ac:dyDescent="0.2">
      <c r="B71" s="20"/>
    </row>
    <row r="72" spans="2:2" ht="14.25" customHeight="1" x14ac:dyDescent="0.2">
      <c r="B72" s="20"/>
    </row>
    <row r="73" spans="2:2" ht="14.25" customHeight="1" x14ac:dyDescent="0.2">
      <c r="B73" s="20"/>
    </row>
    <row r="74" spans="2:2" ht="14.25" customHeight="1" x14ac:dyDescent="0.2">
      <c r="B74" s="20"/>
    </row>
    <row r="75" spans="2:2" ht="14.25" customHeight="1" x14ac:dyDescent="0.2">
      <c r="B75" s="20"/>
    </row>
    <row r="76" spans="2:2" ht="14.25" customHeight="1" x14ac:dyDescent="0.2">
      <c r="B76" s="20"/>
    </row>
    <row r="77" spans="2:2" ht="14.25" customHeight="1" x14ac:dyDescent="0.2">
      <c r="B77" s="20"/>
    </row>
    <row r="78" spans="2:2" ht="14.25" customHeight="1" x14ac:dyDescent="0.2">
      <c r="B78" s="20"/>
    </row>
    <row r="79" spans="2:2" ht="14.25" customHeight="1" x14ac:dyDescent="0.2">
      <c r="B79" s="20"/>
    </row>
    <row r="80" spans="2:2" ht="14.25" customHeight="1" x14ac:dyDescent="0.2">
      <c r="B80" s="20"/>
    </row>
    <row r="81" spans="2:2" ht="14.25" customHeight="1" x14ac:dyDescent="0.2">
      <c r="B81" s="20"/>
    </row>
    <row r="82" spans="2:2" ht="14.25" customHeight="1" x14ac:dyDescent="0.2">
      <c r="B82" s="20"/>
    </row>
    <row r="83" spans="2:2" ht="14.25" customHeight="1" x14ac:dyDescent="0.2">
      <c r="B83" s="20"/>
    </row>
    <row r="84" spans="2:2" ht="14.25" customHeight="1" x14ac:dyDescent="0.2">
      <c r="B84" s="20"/>
    </row>
    <row r="85" spans="2:2" ht="14.25" customHeight="1" x14ac:dyDescent="0.2">
      <c r="B85" s="20"/>
    </row>
    <row r="86" spans="2:2" ht="14.25" customHeight="1" x14ac:dyDescent="0.2">
      <c r="B86" s="20"/>
    </row>
    <row r="87" spans="2:2" ht="14.25" customHeight="1" x14ac:dyDescent="0.2">
      <c r="B87" s="20"/>
    </row>
    <row r="88" spans="2:2" ht="14.25" customHeight="1" x14ac:dyDescent="0.2">
      <c r="B88" s="20"/>
    </row>
    <row r="89" spans="2:2" ht="14.25" customHeight="1" x14ac:dyDescent="0.2">
      <c r="B89" s="20"/>
    </row>
    <row r="90" spans="2:2" ht="14.25" customHeight="1" x14ac:dyDescent="0.2">
      <c r="B90" s="20"/>
    </row>
    <row r="91" spans="2:2" ht="14.25" customHeight="1" x14ac:dyDescent="0.2">
      <c r="B91" s="20"/>
    </row>
    <row r="92" spans="2:2" ht="14.25" customHeight="1" x14ac:dyDescent="0.2">
      <c r="B92" s="20"/>
    </row>
    <row r="93" spans="2:2" ht="14.25" customHeight="1" x14ac:dyDescent="0.2">
      <c r="B93" s="20"/>
    </row>
    <row r="94" spans="2:2" ht="14.25" customHeight="1" x14ac:dyDescent="0.2">
      <c r="B94" s="20"/>
    </row>
    <row r="95" spans="2:2" ht="14.25" customHeight="1" x14ac:dyDescent="0.2">
      <c r="B95" s="20"/>
    </row>
    <row r="96" spans="2:2" ht="14.25" customHeight="1" x14ac:dyDescent="0.2">
      <c r="B96" s="20"/>
    </row>
    <row r="97" spans="2:2" ht="14.25" customHeight="1" x14ac:dyDescent="0.2">
      <c r="B97" s="20"/>
    </row>
    <row r="98" spans="2:2" ht="14.25" customHeight="1" x14ac:dyDescent="0.2">
      <c r="B98" s="20"/>
    </row>
    <row r="99" spans="2:2" ht="14.25" customHeight="1" x14ac:dyDescent="0.2">
      <c r="B99" s="20"/>
    </row>
    <row r="100" spans="2:2" ht="14.25" customHeight="1" x14ac:dyDescent="0.2">
      <c r="B100" s="20"/>
    </row>
    <row r="101" spans="2:2" ht="14.25" customHeight="1" x14ac:dyDescent="0.2">
      <c r="B101" s="20"/>
    </row>
    <row r="102" spans="2:2" ht="14.25" customHeight="1" x14ac:dyDescent="0.2">
      <c r="B102" s="20"/>
    </row>
    <row r="103" spans="2:2" ht="14.25" customHeight="1" x14ac:dyDescent="0.2">
      <c r="B103" s="20"/>
    </row>
    <row r="104" spans="2:2" ht="14.25" customHeight="1" x14ac:dyDescent="0.2">
      <c r="B104" s="20"/>
    </row>
    <row r="105" spans="2:2" ht="14.25" customHeight="1" x14ac:dyDescent="0.2">
      <c r="B105" s="20"/>
    </row>
    <row r="106" spans="2:2" ht="14.25" customHeight="1" x14ac:dyDescent="0.2">
      <c r="B106" s="20"/>
    </row>
    <row r="107" spans="2:2" ht="14.25" customHeight="1" x14ac:dyDescent="0.2">
      <c r="B107" s="20"/>
    </row>
    <row r="108" spans="2:2" ht="14.25" customHeight="1" x14ac:dyDescent="0.2">
      <c r="B108" s="20"/>
    </row>
    <row r="109" spans="2:2" ht="14.25" customHeight="1" x14ac:dyDescent="0.2">
      <c r="B109" s="20"/>
    </row>
    <row r="110" spans="2:2" ht="14.25" customHeight="1" x14ac:dyDescent="0.2">
      <c r="B110" s="20"/>
    </row>
    <row r="111" spans="2:2" ht="14.25" customHeight="1" x14ac:dyDescent="0.2">
      <c r="B111" s="20"/>
    </row>
    <row r="112" spans="2:2" ht="14.25" customHeight="1" x14ac:dyDescent="0.2">
      <c r="B112" s="20"/>
    </row>
    <row r="113" spans="2:2" ht="14.25" customHeight="1" x14ac:dyDescent="0.2">
      <c r="B113" s="20"/>
    </row>
    <row r="114" spans="2:2" ht="14.25" customHeight="1" x14ac:dyDescent="0.2">
      <c r="B114" s="20"/>
    </row>
    <row r="115" spans="2:2" ht="14.25" customHeight="1" x14ac:dyDescent="0.2">
      <c r="B115" s="20"/>
    </row>
    <row r="116" spans="2:2" ht="14.25" customHeight="1" x14ac:dyDescent="0.2">
      <c r="B116" s="20"/>
    </row>
    <row r="117" spans="2:2" ht="14.25" customHeight="1" x14ac:dyDescent="0.2">
      <c r="B117" s="20"/>
    </row>
    <row r="118" spans="2:2" ht="14.25" customHeight="1" x14ac:dyDescent="0.2">
      <c r="B118" s="20"/>
    </row>
    <row r="119" spans="2:2" ht="14.25" customHeight="1" x14ac:dyDescent="0.2">
      <c r="B119" s="20"/>
    </row>
    <row r="120" spans="2:2" ht="14.25" customHeight="1" x14ac:dyDescent="0.2">
      <c r="B120" s="20"/>
    </row>
    <row r="121" spans="2:2" ht="14.25" customHeight="1" x14ac:dyDescent="0.2">
      <c r="B121" s="20"/>
    </row>
    <row r="122" spans="2:2" ht="14.25" customHeight="1" x14ac:dyDescent="0.2">
      <c r="B122" s="20"/>
    </row>
    <row r="123" spans="2:2" ht="14.25" customHeight="1" x14ac:dyDescent="0.2">
      <c r="B123" s="20"/>
    </row>
    <row r="124" spans="2:2" ht="14.25" customHeight="1" x14ac:dyDescent="0.2">
      <c r="B124" s="20"/>
    </row>
    <row r="125" spans="2:2" ht="14.25" customHeight="1" x14ac:dyDescent="0.2">
      <c r="B125" s="20"/>
    </row>
    <row r="126" spans="2:2" ht="14.25" customHeight="1" x14ac:dyDescent="0.2">
      <c r="B126" s="20"/>
    </row>
    <row r="127" spans="2:2" ht="14.25" customHeight="1" x14ac:dyDescent="0.2">
      <c r="B127" s="20"/>
    </row>
    <row r="128" spans="2:2" ht="14.25" customHeight="1" x14ac:dyDescent="0.2">
      <c r="B128" s="20"/>
    </row>
    <row r="129" spans="2:2" ht="14.25" customHeight="1" x14ac:dyDescent="0.2">
      <c r="B129" s="20"/>
    </row>
    <row r="130" spans="2:2" ht="14.25" customHeight="1" x14ac:dyDescent="0.2">
      <c r="B130" s="20"/>
    </row>
    <row r="131" spans="2:2" ht="14.25" customHeight="1" x14ac:dyDescent="0.2">
      <c r="B131" s="20"/>
    </row>
    <row r="132" spans="2:2" ht="14.25" customHeight="1" x14ac:dyDescent="0.2">
      <c r="B132" s="20"/>
    </row>
    <row r="133" spans="2:2" ht="14.25" customHeight="1" x14ac:dyDescent="0.2">
      <c r="B133" s="20"/>
    </row>
    <row r="134" spans="2:2" ht="14.25" customHeight="1" x14ac:dyDescent="0.2">
      <c r="B134" s="20"/>
    </row>
    <row r="135" spans="2:2" ht="14.25" customHeight="1" x14ac:dyDescent="0.2">
      <c r="B135" s="20"/>
    </row>
    <row r="136" spans="2:2" ht="14.25" customHeight="1" x14ac:dyDescent="0.2">
      <c r="B136" s="20"/>
    </row>
    <row r="137" spans="2:2" ht="14.25" customHeight="1" x14ac:dyDescent="0.2">
      <c r="B137" s="20"/>
    </row>
    <row r="138" spans="2:2" ht="14.25" customHeight="1" x14ac:dyDescent="0.2">
      <c r="B138" s="20"/>
    </row>
    <row r="139" spans="2:2" ht="14.25" customHeight="1" x14ac:dyDescent="0.2">
      <c r="B139" s="20"/>
    </row>
    <row r="140" spans="2:2" ht="14.25" customHeight="1" x14ac:dyDescent="0.2">
      <c r="B140" s="20"/>
    </row>
    <row r="141" spans="2:2" ht="14.25" customHeight="1" x14ac:dyDescent="0.2">
      <c r="B141" s="20"/>
    </row>
    <row r="142" spans="2:2" ht="14.25" customHeight="1" x14ac:dyDescent="0.2">
      <c r="B142" s="20"/>
    </row>
    <row r="143" spans="2:2" ht="14.25" customHeight="1" x14ac:dyDescent="0.2">
      <c r="B143" s="20"/>
    </row>
    <row r="144" spans="2:2" ht="14.25" customHeight="1" x14ac:dyDescent="0.2">
      <c r="B144" s="20"/>
    </row>
    <row r="145" spans="2:2" ht="14.25" customHeight="1" x14ac:dyDescent="0.2">
      <c r="B145" s="20"/>
    </row>
    <row r="146" spans="2:2" ht="14.25" customHeight="1" x14ac:dyDescent="0.2">
      <c r="B146" s="20"/>
    </row>
    <row r="147" spans="2:2" ht="14.25" customHeight="1" x14ac:dyDescent="0.2">
      <c r="B147" s="20"/>
    </row>
    <row r="148" spans="2:2" ht="14.25" customHeight="1" x14ac:dyDescent="0.2">
      <c r="B148" s="20"/>
    </row>
    <row r="149" spans="2:2" ht="14.25" customHeight="1" x14ac:dyDescent="0.2">
      <c r="B149" s="20"/>
    </row>
    <row r="150" spans="2:2" ht="14.25" customHeight="1" x14ac:dyDescent="0.2">
      <c r="B150" s="20"/>
    </row>
    <row r="151" spans="2:2" ht="14.25" customHeight="1" x14ac:dyDescent="0.2">
      <c r="B151" s="20"/>
    </row>
    <row r="152" spans="2:2" ht="14.25" customHeight="1" x14ac:dyDescent="0.2">
      <c r="B152" s="20"/>
    </row>
    <row r="153" spans="2:2" ht="14.25" customHeight="1" x14ac:dyDescent="0.2">
      <c r="B153" s="20"/>
    </row>
    <row r="154" spans="2:2" ht="14.25" customHeight="1" x14ac:dyDescent="0.2">
      <c r="B154" s="20"/>
    </row>
    <row r="155" spans="2:2" ht="14.25" customHeight="1" x14ac:dyDescent="0.2">
      <c r="B155" s="20"/>
    </row>
    <row r="156" spans="2:2" ht="14.25" customHeight="1" x14ac:dyDescent="0.2">
      <c r="B156" s="20"/>
    </row>
    <row r="157" spans="2:2" ht="14.25" customHeight="1" x14ac:dyDescent="0.2">
      <c r="B157" s="20"/>
    </row>
    <row r="158" spans="2:2" ht="14.25" customHeight="1" x14ac:dyDescent="0.2">
      <c r="B158" s="20"/>
    </row>
    <row r="159" spans="2:2" ht="14.25" customHeight="1" x14ac:dyDescent="0.2">
      <c r="B159" s="20"/>
    </row>
    <row r="160" spans="2:2" ht="14.25" customHeight="1" x14ac:dyDescent="0.2">
      <c r="B160" s="20"/>
    </row>
    <row r="161" spans="2:2" ht="14.25" customHeight="1" x14ac:dyDescent="0.2">
      <c r="B161" s="20"/>
    </row>
    <row r="162" spans="2:2" ht="14.25" customHeight="1" x14ac:dyDescent="0.2">
      <c r="B162" s="20"/>
    </row>
    <row r="163" spans="2:2" ht="14.25" customHeight="1" x14ac:dyDescent="0.2">
      <c r="B163" s="20"/>
    </row>
    <row r="164" spans="2:2" ht="14.25" customHeight="1" x14ac:dyDescent="0.2">
      <c r="B164" s="20"/>
    </row>
    <row r="165" spans="2:2" ht="14.25" customHeight="1" x14ac:dyDescent="0.2">
      <c r="B165" s="20"/>
    </row>
    <row r="166" spans="2:2" ht="14.25" customHeight="1" x14ac:dyDescent="0.2">
      <c r="B166" s="20"/>
    </row>
    <row r="167" spans="2:2" ht="14.25" customHeight="1" x14ac:dyDescent="0.2">
      <c r="B167" s="20"/>
    </row>
    <row r="168" spans="2:2" ht="14.25" customHeight="1" x14ac:dyDescent="0.2">
      <c r="B168" s="20"/>
    </row>
    <row r="169" spans="2:2" ht="14.25" customHeight="1" x14ac:dyDescent="0.2">
      <c r="B169" s="20"/>
    </row>
    <row r="170" spans="2:2" ht="14.25" customHeight="1" x14ac:dyDescent="0.2">
      <c r="B170" s="20"/>
    </row>
    <row r="171" spans="2:2" ht="14.25" customHeight="1" x14ac:dyDescent="0.2">
      <c r="B171" s="20"/>
    </row>
    <row r="172" spans="2:2" ht="14.25" customHeight="1" x14ac:dyDescent="0.2">
      <c r="B172" s="20"/>
    </row>
    <row r="173" spans="2:2" ht="14.25" customHeight="1" x14ac:dyDescent="0.2">
      <c r="B173" s="20"/>
    </row>
    <row r="174" spans="2:2" ht="14.25" customHeight="1" x14ac:dyDescent="0.2">
      <c r="B174" s="20"/>
    </row>
    <row r="175" spans="2:2" ht="14.25" customHeight="1" x14ac:dyDescent="0.2">
      <c r="B175" s="20"/>
    </row>
    <row r="176" spans="2:2" ht="14.25" customHeight="1" x14ac:dyDescent="0.2">
      <c r="B176" s="20"/>
    </row>
    <row r="177" spans="2:2" ht="14.25" customHeight="1" x14ac:dyDescent="0.2">
      <c r="B177" s="20"/>
    </row>
    <row r="178" spans="2:2" ht="14.25" customHeight="1" x14ac:dyDescent="0.2">
      <c r="B178" s="20"/>
    </row>
    <row r="179" spans="2:2" ht="14.25" customHeight="1" x14ac:dyDescent="0.2">
      <c r="B179" s="20"/>
    </row>
    <row r="180" spans="2:2" ht="14.25" customHeight="1" x14ac:dyDescent="0.2">
      <c r="B180" s="20"/>
    </row>
    <row r="181" spans="2:2" ht="14.25" customHeight="1" x14ac:dyDescent="0.2">
      <c r="B181" s="20"/>
    </row>
    <row r="182" spans="2:2" ht="14.25" customHeight="1" x14ac:dyDescent="0.2">
      <c r="B182" s="20"/>
    </row>
    <row r="183" spans="2:2" ht="14.25" customHeight="1" x14ac:dyDescent="0.2">
      <c r="B183" s="20"/>
    </row>
    <row r="184" spans="2:2" ht="14.25" customHeight="1" x14ac:dyDescent="0.2">
      <c r="B184" s="20"/>
    </row>
    <row r="185" spans="2:2" ht="14.25" customHeight="1" x14ac:dyDescent="0.2">
      <c r="B185" s="20"/>
    </row>
    <row r="186" spans="2:2" ht="14.25" customHeight="1" x14ac:dyDescent="0.2">
      <c r="B186" s="20"/>
    </row>
    <row r="187" spans="2:2" ht="14.25" customHeight="1" x14ac:dyDescent="0.2">
      <c r="B187" s="20"/>
    </row>
    <row r="188" spans="2:2" ht="14.25" customHeight="1" x14ac:dyDescent="0.2">
      <c r="B188" s="20"/>
    </row>
    <row r="189" spans="2:2" ht="14.25" customHeight="1" x14ac:dyDescent="0.2">
      <c r="B189" s="20"/>
    </row>
    <row r="190" spans="2:2" ht="14.25" customHeight="1" x14ac:dyDescent="0.2">
      <c r="B190" s="20"/>
    </row>
    <row r="191" spans="2:2" ht="14.25" customHeight="1" x14ac:dyDescent="0.2">
      <c r="B191" s="20"/>
    </row>
    <row r="192" spans="2:2" ht="14.25" customHeight="1" x14ac:dyDescent="0.2">
      <c r="B192" s="20"/>
    </row>
    <row r="193" spans="2:2" ht="14.25" customHeight="1" x14ac:dyDescent="0.2">
      <c r="B193" s="20"/>
    </row>
    <row r="194" spans="2:2" ht="14.25" customHeight="1" x14ac:dyDescent="0.2">
      <c r="B194" s="20"/>
    </row>
    <row r="195" spans="2:2" ht="14.25" customHeight="1" x14ac:dyDescent="0.2">
      <c r="B195" s="20"/>
    </row>
    <row r="196" spans="2:2" ht="14.25" customHeight="1" x14ac:dyDescent="0.2">
      <c r="B196" s="20"/>
    </row>
    <row r="197" spans="2:2" ht="14.25" customHeight="1" x14ac:dyDescent="0.2">
      <c r="B197" s="20"/>
    </row>
    <row r="198" spans="2:2" ht="14.25" customHeight="1" x14ac:dyDescent="0.2">
      <c r="B198" s="20"/>
    </row>
    <row r="199" spans="2:2" ht="14.25" customHeight="1" x14ac:dyDescent="0.2">
      <c r="B199" s="20"/>
    </row>
    <row r="200" spans="2:2" ht="14.25" customHeight="1" x14ac:dyDescent="0.2">
      <c r="B200" s="20"/>
    </row>
    <row r="201" spans="2:2" ht="14.25" customHeight="1" x14ac:dyDescent="0.2">
      <c r="B201" s="20"/>
    </row>
    <row r="202" spans="2:2" ht="14.25" customHeight="1" x14ac:dyDescent="0.2">
      <c r="B202" s="20"/>
    </row>
    <row r="203" spans="2:2" ht="14.25" customHeight="1" x14ac:dyDescent="0.2">
      <c r="B203" s="20"/>
    </row>
    <row r="204" spans="2:2" ht="14.25" customHeight="1" x14ac:dyDescent="0.2">
      <c r="B204" s="20"/>
    </row>
    <row r="205" spans="2:2" ht="14.25" customHeight="1" x14ac:dyDescent="0.2">
      <c r="B205" s="20"/>
    </row>
    <row r="206" spans="2:2" ht="14.25" customHeight="1" x14ac:dyDescent="0.2">
      <c r="B206" s="20"/>
    </row>
    <row r="207" spans="2:2" ht="14.25" customHeight="1" x14ac:dyDescent="0.2">
      <c r="B207" s="20"/>
    </row>
    <row r="208" spans="2:2" ht="14.25" customHeight="1" x14ac:dyDescent="0.2">
      <c r="B208" s="20"/>
    </row>
    <row r="209" spans="2:2" ht="14.25" customHeight="1" x14ac:dyDescent="0.2">
      <c r="B209" s="20"/>
    </row>
    <row r="210" spans="2:2" ht="14.25" customHeight="1" x14ac:dyDescent="0.2">
      <c r="B210" s="20"/>
    </row>
    <row r="211" spans="2:2" ht="14.25" customHeight="1" x14ac:dyDescent="0.2">
      <c r="B211" s="20"/>
    </row>
    <row r="212" spans="2:2" ht="14.25" customHeight="1" x14ac:dyDescent="0.2">
      <c r="B212" s="20"/>
    </row>
    <row r="213" spans="2:2" ht="14.25" customHeight="1" x14ac:dyDescent="0.2">
      <c r="B213" s="20"/>
    </row>
    <row r="214" spans="2:2" ht="14.25" customHeight="1" x14ac:dyDescent="0.2">
      <c r="B214" s="20"/>
    </row>
    <row r="215" spans="2:2" ht="14.25" customHeight="1" x14ac:dyDescent="0.2">
      <c r="B215" s="20"/>
    </row>
    <row r="216" spans="2:2" ht="14.25" customHeight="1" x14ac:dyDescent="0.2">
      <c r="B216" s="20"/>
    </row>
    <row r="217" spans="2:2" ht="14.25" customHeight="1" x14ac:dyDescent="0.2">
      <c r="B217" s="20"/>
    </row>
    <row r="218" spans="2:2" ht="14.25" customHeight="1" x14ac:dyDescent="0.2">
      <c r="B218" s="20"/>
    </row>
    <row r="219" spans="2:2" ht="14.25" customHeight="1" x14ac:dyDescent="0.2">
      <c r="B219" s="20"/>
    </row>
    <row r="220" spans="2:2" ht="14.25" customHeight="1" x14ac:dyDescent="0.2">
      <c r="B220" s="20"/>
    </row>
    <row r="221" spans="2:2" ht="15.75" customHeight="1" x14ac:dyDescent="0.2"/>
    <row r="222" spans="2:2" ht="15.75" customHeight="1" x14ac:dyDescent="0.2"/>
    <row r="223" spans="2:2" ht="15.75" customHeight="1" x14ac:dyDescent="0.2"/>
    <row r="224" spans="2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G1"/>
    <mergeCell ref="A5:G5"/>
    <mergeCell ref="B7:B8"/>
    <mergeCell ref="B10:B1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2.625" defaultRowHeight="15" customHeight="1" x14ac:dyDescent="0.2"/>
  <cols>
    <col min="1" max="1" width="8.625" customWidth="1"/>
    <col min="2" max="2" width="20.375" customWidth="1"/>
    <col min="3" max="3" width="70.875" customWidth="1"/>
    <col min="4" max="6" width="23.5" customWidth="1"/>
    <col min="7" max="7" width="16.875" customWidth="1"/>
    <col min="8" max="10" width="8.625" customWidth="1"/>
  </cols>
  <sheetData>
    <row r="1" spans="1:10" ht="14.25" customHeight="1" x14ac:dyDescent="0.2">
      <c r="A1" s="103" t="s">
        <v>0</v>
      </c>
      <c r="B1" s="104"/>
      <c r="C1" s="104"/>
      <c r="D1" s="104"/>
      <c r="E1" s="104"/>
      <c r="F1" s="104"/>
      <c r="G1" s="104"/>
      <c r="H1" s="2"/>
      <c r="I1" s="2"/>
      <c r="J1" s="2"/>
    </row>
    <row r="2" spans="1:10" ht="14.25" customHeight="1" x14ac:dyDescent="0.2">
      <c r="A2" s="2"/>
      <c r="B2" s="3"/>
      <c r="C2" s="4"/>
      <c r="D2" s="2" t="s">
        <v>39</v>
      </c>
      <c r="E2" s="2" t="s">
        <v>40</v>
      </c>
      <c r="F2" s="2"/>
      <c r="G2" s="2"/>
      <c r="H2" s="2"/>
      <c r="I2" s="2"/>
      <c r="J2" s="2"/>
    </row>
    <row r="3" spans="1:10" ht="14.25" customHeight="1" x14ac:dyDescent="0.2">
      <c r="A3" s="5" t="s">
        <v>3</v>
      </c>
      <c r="B3" s="6" t="s">
        <v>4</v>
      </c>
      <c r="C3" s="4"/>
      <c r="D3" s="2"/>
      <c r="E3" s="2"/>
      <c r="F3" s="2"/>
      <c r="G3" s="2"/>
      <c r="H3" s="2"/>
      <c r="I3" s="2"/>
      <c r="J3" s="2"/>
    </row>
    <row r="4" spans="1:10" ht="14.25" customHeight="1" x14ac:dyDescent="0.2">
      <c r="A4" s="2"/>
      <c r="B4" s="3"/>
      <c r="C4" s="4"/>
      <c r="D4" s="2"/>
      <c r="E4" s="2"/>
      <c r="F4" s="2"/>
      <c r="G4" s="2"/>
      <c r="H4" s="2"/>
      <c r="I4" s="2"/>
      <c r="J4" s="2"/>
    </row>
    <row r="5" spans="1:10" ht="14.25" customHeight="1" x14ac:dyDescent="0.2">
      <c r="A5" s="105" t="s">
        <v>5</v>
      </c>
      <c r="B5" s="106"/>
      <c r="C5" s="106"/>
      <c r="D5" s="106"/>
      <c r="E5" s="106"/>
      <c r="F5" s="106"/>
      <c r="G5" s="106"/>
      <c r="H5" s="2"/>
      <c r="I5" s="2"/>
      <c r="J5" s="2"/>
    </row>
    <row r="6" spans="1:10" ht="14.25" customHeight="1" x14ac:dyDescent="0.2">
      <c r="A6" s="7" t="s">
        <v>6</v>
      </c>
      <c r="B6" s="8" t="s">
        <v>7</v>
      </c>
      <c r="C6" s="8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2"/>
      <c r="I6" s="2"/>
      <c r="J6" s="2"/>
    </row>
    <row r="7" spans="1:10" ht="14.25" customHeight="1" x14ac:dyDescent="0.2">
      <c r="A7" s="10">
        <v>1</v>
      </c>
      <c r="B7" s="85" t="s">
        <v>13</v>
      </c>
      <c r="C7" s="11" t="s">
        <v>41</v>
      </c>
      <c r="D7" s="13" t="s">
        <v>42</v>
      </c>
      <c r="E7" s="13" t="s">
        <v>42</v>
      </c>
      <c r="F7" s="15">
        <v>7.5</v>
      </c>
      <c r="G7" s="14" t="s">
        <v>15</v>
      </c>
      <c r="H7" s="2"/>
      <c r="I7" s="2"/>
      <c r="J7" s="2"/>
    </row>
    <row r="8" spans="1:10" ht="14.25" customHeight="1" x14ac:dyDescent="0.2">
      <c r="A8" s="10">
        <v>2</v>
      </c>
      <c r="B8" s="107" t="s">
        <v>34</v>
      </c>
      <c r="C8" s="11" t="s">
        <v>36</v>
      </c>
      <c r="D8" s="13" t="s">
        <v>42</v>
      </c>
      <c r="E8" s="13" t="s">
        <v>42</v>
      </c>
      <c r="F8" s="15">
        <v>10</v>
      </c>
      <c r="G8" s="14" t="s">
        <v>18</v>
      </c>
      <c r="H8" s="2"/>
      <c r="I8" s="2"/>
      <c r="J8" s="2"/>
    </row>
    <row r="9" spans="1:10" ht="14.25" customHeight="1" x14ac:dyDescent="0.2">
      <c r="A9" s="10">
        <v>3</v>
      </c>
      <c r="B9" s="108"/>
      <c r="C9" s="11" t="s">
        <v>43</v>
      </c>
      <c r="D9" s="13" t="s">
        <v>42</v>
      </c>
      <c r="E9" s="13" t="s">
        <v>42</v>
      </c>
      <c r="F9" s="15">
        <v>37.5</v>
      </c>
      <c r="G9" s="14" t="s">
        <v>18</v>
      </c>
      <c r="H9" s="2"/>
      <c r="I9" s="2"/>
      <c r="J9" s="2"/>
    </row>
    <row r="10" spans="1:10" ht="14.25" customHeight="1" x14ac:dyDescent="0.2">
      <c r="A10" s="10">
        <v>4</v>
      </c>
      <c r="B10" s="109"/>
      <c r="C10" s="11" t="s">
        <v>44</v>
      </c>
      <c r="D10" s="13" t="s">
        <v>45</v>
      </c>
      <c r="E10" s="13" t="s">
        <v>45</v>
      </c>
      <c r="F10" s="15">
        <v>42.5</v>
      </c>
      <c r="G10" s="14" t="s">
        <v>15</v>
      </c>
      <c r="H10" s="2"/>
      <c r="I10" s="2"/>
      <c r="J10" s="2"/>
    </row>
    <row r="11" spans="1:10" ht="14.25" customHeight="1" x14ac:dyDescent="0.2">
      <c r="A11" s="10">
        <f>A10+1</f>
        <v>5</v>
      </c>
      <c r="B11" s="8" t="s">
        <v>22</v>
      </c>
      <c r="C11" s="11" t="s">
        <v>46</v>
      </c>
      <c r="D11" s="13" t="s">
        <v>42</v>
      </c>
      <c r="E11" s="13" t="s">
        <v>42</v>
      </c>
      <c r="F11" s="15">
        <v>2.5</v>
      </c>
      <c r="G11" s="14" t="s">
        <v>15</v>
      </c>
      <c r="H11" s="2"/>
      <c r="I11" s="2"/>
      <c r="J11" s="2"/>
    </row>
    <row r="12" spans="1:10" ht="14.25" customHeight="1" x14ac:dyDescent="0.2">
      <c r="A12" s="17"/>
      <c r="B12" s="19"/>
      <c r="C12" s="4"/>
      <c r="D12" s="18"/>
      <c r="E12" s="18"/>
      <c r="F12" s="18"/>
      <c r="G12" s="4"/>
      <c r="H12" s="2"/>
      <c r="I12" s="2"/>
      <c r="J12" s="2"/>
    </row>
    <row r="13" spans="1:10" ht="14.25" customHeight="1" x14ac:dyDescent="0.2">
      <c r="A13" s="17"/>
      <c r="B13" s="19"/>
      <c r="C13" s="19"/>
      <c r="D13" s="19"/>
      <c r="E13" s="19"/>
      <c r="F13" s="19"/>
      <c r="G13" s="19"/>
      <c r="H13" s="2"/>
      <c r="I13" s="2"/>
      <c r="J13" s="2"/>
    </row>
    <row r="14" spans="1:10" ht="14.25" customHeight="1" x14ac:dyDescent="0.2">
      <c r="A14" s="17"/>
      <c r="B14" s="19"/>
      <c r="C14" s="4"/>
      <c r="D14" s="18"/>
      <c r="E14" s="18"/>
      <c r="F14" s="18"/>
      <c r="G14" s="4"/>
      <c r="H14" s="2"/>
      <c r="I14" s="2"/>
      <c r="J14" s="2"/>
    </row>
    <row r="15" spans="1:10" ht="14.25" customHeight="1" x14ac:dyDescent="0.2">
      <c r="B15" s="19"/>
      <c r="C15" s="4"/>
      <c r="D15" s="18"/>
      <c r="E15" s="18"/>
      <c r="F15" s="18"/>
      <c r="G15" s="4"/>
      <c r="H15" s="2"/>
      <c r="I15" s="2"/>
      <c r="J15" s="2"/>
    </row>
    <row r="16" spans="1:10" ht="14.25" customHeight="1" x14ac:dyDescent="0.2">
      <c r="B16" s="19"/>
      <c r="C16" s="4"/>
      <c r="D16" s="18"/>
      <c r="E16" s="18"/>
      <c r="F16" s="18"/>
      <c r="G16" s="4"/>
      <c r="H16" s="2"/>
      <c r="I16" s="2"/>
      <c r="J16" s="2"/>
    </row>
    <row r="17" spans="2:8" ht="14.25" customHeight="1" x14ac:dyDescent="0.2">
      <c r="B17" s="19"/>
      <c r="C17" s="4"/>
      <c r="D17" s="18"/>
      <c r="E17" s="18"/>
      <c r="F17" s="18"/>
      <c r="G17" s="4"/>
      <c r="H17" s="2"/>
    </row>
    <row r="18" spans="2:8" ht="14.25" customHeight="1" x14ac:dyDescent="0.2">
      <c r="B18" s="19"/>
      <c r="C18" s="4"/>
      <c r="D18" s="18"/>
      <c r="E18" s="18"/>
      <c r="F18" s="18"/>
      <c r="G18" s="4"/>
      <c r="H18" s="2"/>
    </row>
    <row r="19" spans="2:8" ht="14.25" customHeight="1" x14ac:dyDescent="0.2">
      <c r="B19" s="19"/>
      <c r="C19" s="4"/>
      <c r="D19" s="18"/>
      <c r="E19" s="18"/>
      <c r="F19" s="18"/>
      <c r="G19" s="4"/>
      <c r="H19" s="2"/>
    </row>
    <row r="20" spans="2:8" ht="14.25" customHeight="1" x14ac:dyDescent="0.2">
      <c r="B20" s="19"/>
      <c r="C20" s="4"/>
      <c r="D20" s="18"/>
      <c r="E20" s="18"/>
      <c r="F20" s="18"/>
      <c r="G20" s="4"/>
      <c r="H20" s="2"/>
    </row>
    <row r="21" spans="2:8" ht="14.25" customHeight="1" x14ac:dyDescent="0.2">
      <c r="B21" s="19"/>
      <c r="C21" s="4"/>
      <c r="D21" s="18"/>
      <c r="E21" s="18"/>
      <c r="F21" s="18"/>
      <c r="G21" s="4"/>
      <c r="H21" s="2"/>
    </row>
    <row r="22" spans="2:8" ht="14.25" customHeight="1" x14ac:dyDescent="0.2">
      <c r="B22" s="19"/>
      <c r="C22" s="4"/>
      <c r="D22" s="18"/>
      <c r="E22" s="18"/>
      <c r="F22" s="18"/>
      <c r="G22" s="4"/>
      <c r="H22" s="2"/>
    </row>
    <row r="23" spans="2:8" ht="14.25" customHeight="1" x14ac:dyDescent="0.2">
      <c r="B23" s="19"/>
      <c r="C23" s="4"/>
      <c r="D23" s="18"/>
      <c r="E23" s="18"/>
      <c r="F23" s="18"/>
      <c r="G23" s="4"/>
      <c r="H23" s="2"/>
    </row>
    <row r="24" spans="2:8" ht="14.25" customHeight="1" x14ac:dyDescent="0.2">
      <c r="B24" s="19"/>
      <c r="C24" s="4"/>
      <c r="D24" s="18"/>
      <c r="E24" s="18"/>
      <c r="F24" s="18"/>
      <c r="G24" s="4"/>
      <c r="H24" s="2"/>
    </row>
    <row r="25" spans="2:8" ht="14.25" customHeight="1" x14ac:dyDescent="0.2">
      <c r="B25" s="19"/>
      <c r="C25" s="4"/>
      <c r="D25" s="18"/>
      <c r="E25" s="18"/>
      <c r="F25" s="18"/>
      <c r="G25" s="4"/>
      <c r="H25" s="2"/>
    </row>
    <row r="26" spans="2:8" ht="14.25" customHeight="1" x14ac:dyDescent="0.2">
      <c r="B26" s="19"/>
      <c r="C26" s="4"/>
      <c r="D26" s="18"/>
      <c r="E26" s="18"/>
      <c r="F26" s="18"/>
      <c r="G26" s="4"/>
      <c r="H26" s="2"/>
    </row>
    <row r="27" spans="2:8" ht="14.25" customHeight="1" x14ac:dyDescent="0.2">
      <c r="B27" s="19"/>
      <c r="C27" s="4"/>
      <c r="D27" s="18"/>
      <c r="E27" s="18"/>
      <c r="F27" s="18"/>
      <c r="G27" s="4"/>
      <c r="H27" s="2"/>
    </row>
    <row r="28" spans="2:8" ht="14.25" customHeight="1" x14ac:dyDescent="0.2">
      <c r="B28" s="19"/>
      <c r="C28" s="4"/>
      <c r="D28" s="18"/>
      <c r="E28" s="18"/>
      <c r="F28" s="18"/>
      <c r="G28" s="4"/>
      <c r="H28" s="2"/>
    </row>
    <row r="29" spans="2:8" ht="24.75" customHeight="1" x14ac:dyDescent="0.2">
      <c r="B29" s="19"/>
      <c r="C29" s="4"/>
      <c r="D29" s="18"/>
      <c r="E29" s="18"/>
      <c r="F29" s="18"/>
      <c r="G29" s="4"/>
      <c r="H29" s="2"/>
    </row>
    <row r="30" spans="2:8" ht="24.75" customHeight="1" x14ac:dyDescent="0.2">
      <c r="B30" s="19"/>
      <c r="C30" s="4"/>
      <c r="D30" s="18"/>
      <c r="E30" s="18"/>
      <c r="F30" s="18"/>
      <c r="G30" s="4"/>
      <c r="H30" s="2"/>
    </row>
    <row r="31" spans="2:8" ht="14.25" customHeight="1" x14ac:dyDescent="0.2">
      <c r="B31" s="19"/>
      <c r="C31" s="4"/>
      <c r="D31" s="18"/>
      <c r="E31" s="18"/>
      <c r="F31" s="18"/>
      <c r="G31" s="4"/>
      <c r="H31" s="2"/>
    </row>
    <row r="32" spans="2:8" ht="14.25" customHeight="1" x14ac:dyDescent="0.2">
      <c r="B32" s="20"/>
      <c r="C32" s="4"/>
      <c r="D32" s="18"/>
      <c r="E32" s="18"/>
      <c r="F32" s="18"/>
      <c r="G32" s="4"/>
      <c r="H32" s="2"/>
    </row>
    <row r="33" spans="2:2" ht="14.25" customHeight="1" x14ac:dyDescent="0.2">
      <c r="B33" s="20"/>
    </row>
    <row r="34" spans="2:2" ht="14.25" customHeight="1" x14ac:dyDescent="0.2">
      <c r="B34" s="20"/>
    </row>
    <row r="35" spans="2:2" ht="14.25" customHeight="1" x14ac:dyDescent="0.2">
      <c r="B35" s="20"/>
    </row>
    <row r="36" spans="2:2" ht="14.25" customHeight="1" x14ac:dyDescent="0.2">
      <c r="B36" s="20"/>
    </row>
    <row r="37" spans="2:2" ht="14.25" customHeight="1" x14ac:dyDescent="0.2">
      <c r="B37" s="20"/>
    </row>
    <row r="38" spans="2:2" ht="14.25" customHeight="1" x14ac:dyDescent="0.2">
      <c r="B38" s="20"/>
    </row>
    <row r="39" spans="2:2" ht="14.25" customHeight="1" x14ac:dyDescent="0.2">
      <c r="B39" s="20"/>
    </row>
    <row r="40" spans="2:2" ht="14.25" customHeight="1" x14ac:dyDescent="0.2">
      <c r="B40" s="20"/>
    </row>
    <row r="41" spans="2:2" ht="14.25" customHeight="1" x14ac:dyDescent="0.2">
      <c r="B41" s="20"/>
    </row>
    <row r="42" spans="2:2" ht="14.25" customHeight="1" x14ac:dyDescent="0.2">
      <c r="B42" s="20"/>
    </row>
    <row r="43" spans="2:2" ht="14.25" customHeight="1" x14ac:dyDescent="0.2">
      <c r="B43" s="20"/>
    </row>
    <row r="44" spans="2:2" ht="14.25" customHeight="1" x14ac:dyDescent="0.2">
      <c r="B44" s="20"/>
    </row>
    <row r="45" spans="2:2" ht="14.25" customHeight="1" x14ac:dyDescent="0.2">
      <c r="B45" s="20"/>
    </row>
    <row r="46" spans="2:2" ht="14.25" customHeight="1" x14ac:dyDescent="0.2">
      <c r="B46" s="20"/>
    </row>
    <row r="47" spans="2:2" ht="14.25" customHeight="1" x14ac:dyDescent="0.2">
      <c r="B47" s="20"/>
    </row>
    <row r="48" spans="2:2" ht="14.25" customHeight="1" x14ac:dyDescent="0.2">
      <c r="B48" s="20"/>
    </row>
    <row r="49" spans="2:2" ht="14.25" customHeight="1" x14ac:dyDescent="0.2">
      <c r="B49" s="20"/>
    </row>
    <row r="50" spans="2:2" ht="14.25" customHeight="1" x14ac:dyDescent="0.2">
      <c r="B50" s="20"/>
    </row>
    <row r="51" spans="2:2" ht="14.25" customHeight="1" x14ac:dyDescent="0.2">
      <c r="B51" s="20"/>
    </row>
    <row r="52" spans="2:2" ht="14.25" customHeight="1" x14ac:dyDescent="0.2">
      <c r="B52" s="20"/>
    </row>
    <row r="53" spans="2:2" ht="14.25" customHeight="1" x14ac:dyDescent="0.2">
      <c r="B53" s="20"/>
    </row>
    <row r="54" spans="2:2" ht="14.25" customHeight="1" x14ac:dyDescent="0.2">
      <c r="B54" s="20"/>
    </row>
    <row r="55" spans="2:2" ht="14.25" customHeight="1" x14ac:dyDescent="0.2">
      <c r="B55" s="20"/>
    </row>
    <row r="56" spans="2:2" ht="14.25" customHeight="1" x14ac:dyDescent="0.2">
      <c r="B56" s="20"/>
    </row>
    <row r="57" spans="2:2" ht="14.25" customHeight="1" x14ac:dyDescent="0.2">
      <c r="B57" s="20"/>
    </row>
    <row r="58" spans="2:2" ht="14.25" customHeight="1" x14ac:dyDescent="0.2">
      <c r="B58" s="20"/>
    </row>
    <row r="59" spans="2:2" ht="14.25" customHeight="1" x14ac:dyDescent="0.2">
      <c r="B59" s="20"/>
    </row>
    <row r="60" spans="2:2" ht="14.25" customHeight="1" x14ac:dyDescent="0.2">
      <c r="B60" s="20"/>
    </row>
    <row r="61" spans="2:2" ht="14.25" customHeight="1" x14ac:dyDescent="0.2">
      <c r="B61" s="20"/>
    </row>
    <row r="62" spans="2:2" ht="14.25" customHeight="1" x14ac:dyDescent="0.2">
      <c r="B62" s="20"/>
    </row>
    <row r="63" spans="2:2" ht="14.25" customHeight="1" x14ac:dyDescent="0.2">
      <c r="B63" s="20"/>
    </row>
    <row r="64" spans="2:2" ht="14.25" customHeight="1" x14ac:dyDescent="0.2">
      <c r="B64" s="20"/>
    </row>
    <row r="65" spans="2:2" ht="14.25" customHeight="1" x14ac:dyDescent="0.2">
      <c r="B65" s="20"/>
    </row>
    <row r="66" spans="2:2" ht="14.25" customHeight="1" x14ac:dyDescent="0.2">
      <c r="B66" s="20"/>
    </row>
    <row r="67" spans="2:2" ht="14.25" customHeight="1" x14ac:dyDescent="0.2">
      <c r="B67" s="20"/>
    </row>
    <row r="68" spans="2:2" ht="14.25" customHeight="1" x14ac:dyDescent="0.2">
      <c r="B68" s="20"/>
    </row>
    <row r="69" spans="2:2" ht="14.25" customHeight="1" x14ac:dyDescent="0.2">
      <c r="B69" s="20"/>
    </row>
    <row r="70" spans="2:2" ht="14.25" customHeight="1" x14ac:dyDescent="0.2">
      <c r="B70" s="20"/>
    </row>
    <row r="71" spans="2:2" ht="14.25" customHeight="1" x14ac:dyDescent="0.2">
      <c r="B71" s="20"/>
    </row>
    <row r="72" spans="2:2" ht="14.25" customHeight="1" x14ac:dyDescent="0.2">
      <c r="B72" s="20"/>
    </row>
    <row r="73" spans="2:2" ht="14.25" customHeight="1" x14ac:dyDescent="0.2">
      <c r="B73" s="20"/>
    </row>
    <row r="74" spans="2:2" ht="14.25" customHeight="1" x14ac:dyDescent="0.2">
      <c r="B74" s="20"/>
    </row>
    <row r="75" spans="2:2" ht="14.25" customHeight="1" x14ac:dyDescent="0.2">
      <c r="B75" s="20"/>
    </row>
    <row r="76" spans="2:2" ht="14.25" customHeight="1" x14ac:dyDescent="0.2">
      <c r="B76" s="20"/>
    </row>
    <row r="77" spans="2:2" ht="14.25" customHeight="1" x14ac:dyDescent="0.2">
      <c r="B77" s="20"/>
    </row>
    <row r="78" spans="2:2" ht="14.25" customHeight="1" x14ac:dyDescent="0.2">
      <c r="B78" s="20"/>
    </row>
    <row r="79" spans="2:2" ht="14.25" customHeight="1" x14ac:dyDescent="0.2">
      <c r="B79" s="20"/>
    </row>
    <row r="80" spans="2:2" ht="14.25" customHeight="1" x14ac:dyDescent="0.2">
      <c r="B80" s="20"/>
    </row>
    <row r="81" spans="2:2" ht="14.25" customHeight="1" x14ac:dyDescent="0.2">
      <c r="B81" s="20"/>
    </row>
    <row r="82" spans="2:2" ht="14.25" customHeight="1" x14ac:dyDescent="0.2">
      <c r="B82" s="20"/>
    </row>
    <row r="83" spans="2:2" ht="14.25" customHeight="1" x14ac:dyDescent="0.2">
      <c r="B83" s="20"/>
    </row>
    <row r="84" spans="2:2" ht="14.25" customHeight="1" x14ac:dyDescent="0.2">
      <c r="B84" s="20"/>
    </row>
    <row r="85" spans="2:2" ht="14.25" customHeight="1" x14ac:dyDescent="0.2">
      <c r="B85" s="20"/>
    </row>
    <row r="86" spans="2:2" ht="14.25" customHeight="1" x14ac:dyDescent="0.2">
      <c r="B86" s="20"/>
    </row>
    <row r="87" spans="2:2" ht="14.25" customHeight="1" x14ac:dyDescent="0.2">
      <c r="B87" s="20"/>
    </row>
    <row r="88" spans="2:2" ht="14.25" customHeight="1" x14ac:dyDescent="0.2">
      <c r="B88" s="20"/>
    </row>
    <row r="89" spans="2:2" ht="14.25" customHeight="1" x14ac:dyDescent="0.2">
      <c r="B89" s="20"/>
    </row>
    <row r="90" spans="2:2" ht="14.25" customHeight="1" x14ac:dyDescent="0.2">
      <c r="B90" s="20"/>
    </row>
    <row r="91" spans="2:2" ht="14.25" customHeight="1" x14ac:dyDescent="0.2">
      <c r="B91" s="20"/>
    </row>
    <row r="92" spans="2:2" ht="14.25" customHeight="1" x14ac:dyDescent="0.2">
      <c r="B92" s="20"/>
    </row>
    <row r="93" spans="2:2" ht="14.25" customHeight="1" x14ac:dyDescent="0.2">
      <c r="B93" s="20"/>
    </row>
    <row r="94" spans="2:2" ht="14.25" customHeight="1" x14ac:dyDescent="0.2">
      <c r="B94" s="20"/>
    </row>
    <row r="95" spans="2:2" ht="14.25" customHeight="1" x14ac:dyDescent="0.2">
      <c r="B95" s="20"/>
    </row>
    <row r="96" spans="2:2" ht="14.25" customHeight="1" x14ac:dyDescent="0.2">
      <c r="B96" s="20"/>
    </row>
    <row r="97" spans="2:2" ht="14.25" customHeight="1" x14ac:dyDescent="0.2">
      <c r="B97" s="20"/>
    </row>
    <row r="98" spans="2:2" ht="14.25" customHeight="1" x14ac:dyDescent="0.2">
      <c r="B98" s="20"/>
    </row>
    <row r="99" spans="2:2" ht="14.25" customHeight="1" x14ac:dyDescent="0.2">
      <c r="B99" s="20"/>
    </row>
    <row r="100" spans="2:2" ht="14.25" customHeight="1" x14ac:dyDescent="0.2">
      <c r="B100" s="20"/>
    </row>
    <row r="101" spans="2:2" ht="14.25" customHeight="1" x14ac:dyDescent="0.2">
      <c r="B101" s="20"/>
    </row>
    <row r="102" spans="2:2" ht="14.25" customHeight="1" x14ac:dyDescent="0.2">
      <c r="B102" s="20"/>
    </row>
    <row r="103" spans="2:2" ht="14.25" customHeight="1" x14ac:dyDescent="0.2">
      <c r="B103" s="20"/>
    </row>
    <row r="104" spans="2:2" ht="14.25" customHeight="1" x14ac:dyDescent="0.2">
      <c r="B104" s="20"/>
    </row>
    <row r="105" spans="2:2" ht="14.25" customHeight="1" x14ac:dyDescent="0.2">
      <c r="B105" s="20"/>
    </row>
    <row r="106" spans="2:2" ht="14.25" customHeight="1" x14ac:dyDescent="0.2">
      <c r="B106" s="20"/>
    </row>
    <row r="107" spans="2:2" ht="14.25" customHeight="1" x14ac:dyDescent="0.2">
      <c r="B107" s="20"/>
    </row>
    <row r="108" spans="2:2" ht="14.25" customHeight="1" x14ac:dyDescent="0.2">
      <c r="B108" s="20"/>
    </row>
    <row r="109" spans="2:2" ht="14.25" customHeight="1" x14ac:dyDescent="0.2">
      <c r="B109" s="20"/>
    </row>
    <row r="110" spans="2:2" ht="14.25" customHeight="1" x14ac:dyDescent="0.2">
      <c r="B110" s="20"/>
    </row>
    <row r="111" spans="2:2" ht="14.25" customHeight="1" x14ac:dyDescent="0.2">
      <c r="B111" s="20"/>
    </row>
    <row r="112" spans="2:2" ht="14.25" customHeight="1" x14ac:dyDescent="0.2">
      <c r="B112" s="20"/>
    </row>
    <row r="113" spans="2:2" ht="14.25" customHeight="1" x14ac:dyDescent="0.2">
      <c r="B113" s="20"/>
    </row>
    <row r="114" spans="2:2" ht="14.25" customHeight="1" x14ac:dyDescent="0.2">
      <c r="B114" s="20"/>
    </row>
    <row r="115" spans="2:2" ht="14.25" customHeight="1" x14ac:dyDescent="0.2">
      <c r="B115" s="20"/>
    </row>
    <row r="116" spans="2:2" ht="14.25" customHeight="1" x14ac:dyDescent="0.2">
      <c r="B116" s="20"/>
    </row>
    <row r="117" spans="2:2" ht="14.25" customHeight="1" x14ac:dyDescent="0.2">
      <c r="B117" s="20"/>
    </row>
    <row r="118" spans="2:2" ht="14.25" customHeight="1" x14ac:dyDescent="0.2">
      <c r="B118" s="20"/>
    </row>
    <row r="119" spans="2:2" ht="14.25" customHeight="1" x14ac:dyDescent="0.2">
      <c r="B119" s="20"/>
    </row>
    <row r="120" spans="2:2" ht="14.25" customHeight="1" x14ac:dyDescent="0.2">
      <c r="B120" s="20"/>
    </row>
    <row r="121" spans="2:2" ht="14.25" customHeight="1" x14ac:dyDescent="0.2">
      <c r="B121" s="20"/>
    </row>
    <row r="122" spans="2:2" ht="14.25" customHeight="1" x14ac:dyDescent="0.2">
      <c r="B122" s="20"/>
    </row>
    <row r="123" spans="2:2" ht="14.25" customHeight="1" x14ac:dyDescent="0.2">
      <c r="B123" s="20"/>
    </row>
    <row r="124" spans="2:2" ht="14.25" customHeight="1" x14ac:dyDescent="0.2">
      <c r="B124" s="20"/>
    </row>
    <row r="125" spans="2:2" ht="14.25" customHeight="1" x14ac:dyDescent="0.2">
      <c r="B125" s="20"/>
    </row>
    <row r="126" spans="2:2" ht="14.25" customHeight="1" x14ac:dyDescent="0.2">
      <c r="B126" s="20"/>
    </row>
    <row r="127" spans="2:2" ht="14.25" customHeight="1" x14ac:dyDescent="0.2">
      <c r="B127" s="20"/>
    </row>
    <row r="128" spans="2:2" ht="14.25" customHeight="1" x14ac:dyDescent="0.2">
      <c r="B128" s="20"/>
    </row>
    <row r="129" spans="2:2" ht="14.25" customHeight="1" x14ac:dyDescent="0.2">
      <c r="B129" s="20"/>
    </row>
    <row r="130" spans="2:2" ht="14.25" customHeight="1" x14ac:dyDescent="0.2">
      <c r="B130" s="20"/>
    </row>
    <row r="131" spans="2:2" ht="14.25" customHeight="1" x14ac:dyDescent="0.2">
      <c r="B131" s="20"/>
    </row>
    <row r="132" spans="2:2" ht="14.25" customHeight="1" x14ac:dyDescent="0.2">
      <c r="B132" s="20"/>
    </row>
    <row r="133" spans="2:2" ht="14.25" customHeight="1" x14ac:dyDescent="0.2">
      <c r="B133" s="20"/>
    </row>
    <row r="134" spans="2:2" ht="14.25" customHeight="1" x14ac:dyDescent="0.2">
      <c r="B134" s="20"/>
    </row>
    <row r="135" spans="2:2" ht="14.25" customHeight="1" x14ac:dyDescent="0.2">
      <c r="B135" s="20"/>
    </row>
    <row r="136" spans="2:2" ht="14.25" customHeight="1" x14ac:dyDescent="0.2">
      <c r="B136" s="20"/>
    </row>
    <row r="137" spans="2:2" ht="14.25" customHeight="1" x14ac:dyDescent="0.2">
      <c r="B137" s="20"/>
    </row>
    <row r="138" spans="2:2" ht="14.25" customHeight="1" x14ac:dyDescent="0.2">
      <c r="B138" s="20"/>
    </row>
    <row r="139" spans="2:2" ht="14.25" customHeight="1" x14ac:dyDescent="0.2">
      <c r="B139" s="20"/>
    </row>
    <row r="140" spans="2:2" ht="14.25" customHeight="1" x14ac:dyDescent="0.2">
      <c r="B140" s="20"/>
    </row>
    <row r="141" spans="2:2" ht="14.25" customHeight="1" x14ac:dyDescent="0.2">
      <c r="B141" s="20"/>
    </row>
    <row r="142" spans="2:2" ht="14.25" customHeight="1" x14ac:dyDescent="0.2">
      <c r="B142" s="20"/>
    </row>
    <row r="143" spans="2:2" ht="14.25" customHeight="1" x14ac:dyDescent="0.2">
      <c r="B143" s="20"/>
    </row>
    <row r="144" spans="2:2" ht="14.25" customHeight="1" x14ac:dyDescent="0.2">
      <c r="B144" s="20"/>
    </row>
    <row r="145" spans="2:2" ht="14.25" customHeight="1" x14ac:dyDescent="0.2">
      <c r="B145" s="20"/>
    </row>
    <row r="146" spans="2:2" ht="14.25" customHeight="1" x14ac:dyDescent="0.2">
      <c r="B146" s="20"/>
    </row>
    <row r="147" spans="2:2" ht="14.25" customHeight="1" x14ac:dyDescent="0.2">
      <c r="B147" s="20"/>
    </row>
    <row r="148" spans="2:2" ht="14.25" customHeight="1" x14ac:dyDescent="0.2">
      <c r="B148" s="20"/>
    </row>
    <row r="149" spans="2:2" ht="14.25" customHeight="1" x14ac:dyDescent="0.2">
      <c r="B149" s="20"/>
    </row>
    <row r="150" spans="2:2" ht="14.25" customHeight="1" x14ac:dyDescent="0.2">
      <c r="B150" s="20"/>
    </row>
    <row r="151" spans="2:2" ht="14.25" customHeight="1" x14ac:dyDescent="0.2">
      <c r="B151" s="20"/>
    </row>
    <row r="152" spans="2:2" ht="14.25" customHeight="1" x14ac:dyDescent="0.2">
      <c r="B152" s="20"/>
    </row>
    <row r="153" spans="2:2" ht="14.25" customHeight="1" x14ac:dyDescent="0.2">
      <c r="B153" s="20"/>
    </row>
    <row r="154" spans="2:2" ht="14.25" customHeight="1" x14ac:dyDescent="0.2">
      <c r="B154" s="20"/>
    </row>
    <row r="155" spans="2:2" ht="14.25" customHeight="1" x14ac:dyDescent="0.2">
      <c r="B155" s="20"/>
    </row>
    <row r="156" spans="2:2" ht="14.25" customHeight="1" x14ac:dyDescent="0.2">
      <c r="B156" s="20"/>
    </row>
    <row r="157" spans="2:2" ht="14.25" customHeight="1" x14ac:dyDescent="0.2">
      <c r="B157" s="20"/>
    </row>
    <row r="158" spans="2:2" ht="14.25" customHeight="1" x14ac:dyDescent="0.2">
      <c r="B158" s="20"/>
    </row>
    <row r="159" spans="2:2" ht="14.25" customHeight="1" x14ac:dyDescent="0.2">
      <c r="B159" s="20"/>
    </row>
    <row r="160" spans="2:2" ht="14.25" customHeight="1" x14ac:dyDescent="0.2">
      <c r="B160" s="20"/>
    </row>
    <row r="161" spans="2:2" ht="14.25" customHeight="1" x14ac:dyDescent="0.2">
      <c r="B161" s="20"/>
    </row>
    <row r="162" spans="2:2" ht="14.25" customHeight="1" x14ac:dyDescent="0.2">
      <c r="B162" s="20"/>
    </row>
    <row r="163" spans="2:2" ht="14.25" customHeight="1" x14ac:dyDescent="0.2">
      <c r="B163" s="20"/>
    </row>
    <row r="164" spans="2:2" ht="14.25" customHeight="1" x14ac:dyDescent="0.2">
      <c r="B164" s="20"/>
    </row>
    <row r="165" spans="2:2" ht="14.25" customHeight="1" x14ac:dyDescent="0.2">
      <c r="B165" s="20"/>
    </row>
    <row r="166" spans="2:2" ht="14.25" customHeight="1" x14ac:dyDescent="0.2">
      <c r="B166" s="20"/>
    </row>
    <row r="167" spans="2:2" ht="14.25" customHeight="1" x14ac:dyDescent="0.2">
      <c r="B167" s="20"/>
    </row>
    <row r="168" spans="2:2" ht="14.25" customHeight="1" x14ac:dyDescent="0.2">
      <c r="B168" s="20"/>
    </row>
    <row r="169" spans="2:2" ht="14.25" customHeight="1" x14ac:dyDescent="0.2">
      <c r="B169" s="20"/>
    </row>
    <row r="170" spans="2:2" ht="14.25" customHeight="1" x14ac:dyDescent="0.2">
      <c r="B170" s="20"/>
    </row>
    <row r="171" spans="2:2" ht="14.25" customHeight="1" x14ac:dyDescent="0.2">
      <c r="B171" s="20"/>
    </row>
    <row r="172" spans="2:2" ht="14.25" customHeight="1" x14ac:dyDescent="0.2">
      <c r="B172" s="20"/>
    </row>
    <row r="173" spans="2:2" ht="14.25" customHeight="1" x14ac:dyDescent="0.2">
      <c r="B173" s="20"/>
    </row>
    <row r="174" spans="2:2" ht="14.25" customHeight="1" x14ac:dyDescent="0.2">
      <c r="B174" s="20"/>
    </row>
    <row r="175" spans="2:2" ht="14.25" customHeight="1" x14ac:dyDescent="0.2">
      <c r="B175" s="20"/>
    </row>
    <row r="176" spans="2:2" ht="14.25" customHeight="1" x14ac:dyDescent="0.2">
      <c r="B176" s="20"/>
    </row>
    <row r="177" spans="2:2" ht="14.25" customHeight="1" x14ac:dyDescent="0.2">
      <c r="B177" s="20"/>
    </row>
    <row r="178" spans="2:2" ht="14.25" customHeight="1" x14ac:dyDescent="0.2">
      <c r="B178" s="20"/>
    </row>
    <row r="179" spans="2:2" ht="14.25" customHeight="1" x14ac:dyDescent="0.2">
      <c r="B179" s="20"/>
    </row>
    <row r="180" spans="2:2" ht="14.25" customHeight="1" x14ac:dyDescent="0.2">
      <c r="B180" s="20"/>
    </row>
    <row r="181" spans="2:2" ht="14.25" customHeight="1" x14ac:dyDescent="0.2">
      <c r="B181" s="20"/>
    </row>
    <row r="182" spans="2:2" ht="14.25" customHeight="1" x14ac:dyDescent="0.2">
      <c r="B182" s="20"/>
    </row>
    <row r="183" spans="2:2" ht="14.25" customHeight="1" x14ac:dyDescent="0.2">
      <c r="B183" s="20"/>
    </row>
    <row r="184" spans="2:2" ht="14.25" customHeight="1" x14ac:dyDescent="0.2">
      <c r="B184" s="20"/>
    </row>
    <row r="185" spans="2:2" ht="14.25" customHeight="1" x14ac:dyDescent="0.2">
      <c r="B185" s="20"/>
    </row>
    <row r="186" spans="2:2" ht="14.25" customHeight="1" x14ac:dyDescent="0.2">
      <c r="B186" s="20"/>
    </row>
    <row r="187" spans="2:2" ht="14.25" customHeight="1" x14ac:dyDescent="0.2">
      <c r="B187" s="20"/>
    </row>
    <row r="188" spans="2:2" ht="14.25" customHeight="1" x14ac:dyDescent="0.2">
      <c r="B188" s="20"/>
    </row>
    <row r="189" spans="2:2" ht="14.25" customHeight="1" x14ac:dyDescent="0.2">
      <c r="B189" s="20"/>
    </row>
    <row r="190" spans="2:2" ht="14.25" customHeight="1" x14ac:dyDescent="0.2">
      <c r="B190" s="20"/>
    </row>
    <row r="191" spans="2:2" ht="14.25" customHeight="1" x14ac:dyDescent="0.2">
      <c r="B191" s="20"/>
    </row>
    <row r="192" spans="2:2" ht="14.25" customHeight="1" x14ac:dyDescent="0.2">
      <c r="B192" s="20"/>
    </row>
    <row r="193" spans="2:2" ht="14.25" customHeight="1" x14ac:dyDescent="0.2">
      <c r="B193" s="20"/>
    </row>
    <row r="194" spans="2:2" ht="14.25" customHeight="1" x14ac:dyDescent="0.2">
      <c r="B194" s="20"/>
    </row>
    <row r="195" spans="2:2" ht="14.25" customHeight="1" x14ac:dyDescent="0.2">
      <c r="B195" s="20"/>
    </row>
    <row r="196" spans="2:2" ht="14.25" customHeight="1" x14ac:dyDescent="0.2">
      <c r="B196" s="20"/>
    </row>
    <row r="197" spans="2:2" ht="14.25" customHeight="1" x14ac:dyDescent="0.2">
      <c r="B197" s="20"/>
    </row>
    <row r="198" spans="2:2" ht="14.25" customHeight="1" x14ac:dyDescent="0.2">
      <c r="B198" s="20"/>
    </row>
    <row r="199" spans="2:2" ht="14.25" customHeight="1" x14ac:dyDescent="0.2">
      <c r="B199" s="20"/>
    </row>
    <row r="200" spans="2:2" ht="14.25" customHeight="1" x14ac:dyDescent="0.2">
      <c r="B200" s="20"/>
    </row>
    <row r="201" spans="2:2" ht="14.25" customHeight="1" x14ac:dyDescent="0.2">
      <c r="B201" s="20"/>
    </row>
    <row r="202" spans="2:2" ht="14.25" customHeight="1" x14ac:dyDescent="0.2">
      <c r="B202" s="20"/>
    </row>
    <row r="203" spans="2:2" ht="14.25" customHeight="1" x14ac:dyDescent="0.2">
      <c r="B203" s="20"/>
    </row>
    <row r="204" spans="2:2" ht="14.25" customHeight="1" x14ac:dyDescent="0.2">
      <c r="B204" s="20"/>
    </row>
    <row r="205" spans="2:2" ht="14.25" customHeight="1" x14ac:dyDescent="0.2">
      <c r="B205" s="20"/>
    </row>
    <row r="206" spans="2:2" ht="14.25" customHeight="1" x14ac:dyDescent="0.2">
      <c r="B206" s="20"/>
    </row>
    <row r="207" spans="2:2" ht="14.25" customHeight="1" x14ac:dyDescent="0.2">
      <c r="B207" s="20"/>
    </row>
    <row r="208" spans="2:2" ht="14.25" customHeight="1" x14ac:dyDescent="0.2">
      <c r="B208" s="20"/>
    </row>
    <row r="209" spans="2:2" ht="14.25" customHeight="1" x14ac:dyDescent="0.2">
      <c r="B209" s="20"/>
    </row>
    <row r="210" spans="2:2" ht="14.25" customHeight="1" x14ac:dyDescent="0.2">
      <c r="B210" s="20"/>
    </row>
    <row r="211" spans="2:2" ht="14.25" customHeight="1" x14ac:dyDescent="0.2">
      <c r="B211" s="20"/>
    </row>
    <row r="212" spans="2:2" ht="14.25" customHeight="1" x14ac:dyDescent="0.2">
      <c r="B212" s="20"/>
    </row>
    <row r="213" spans="2:2" ht="14.25" customHeight="1" x14ac:dyDescent="0.2">
      <c r="B213" s="20"/>
    </row>
    <row r="214" spans="2:2" ht="14.25" customHeight="1" x14ac:dyDescent="0.2">
      <c r="B214" s="20"/>
    </row>
    <row r="215" spans="2:2" ht="14.25" customHeight="1" x14ac:dyDescent="0.2">
      <c r="B215" s="20"/>
    </row>
    <row r="216" spans="2:2" ht="14.25" customHeight="1" x14ac:dyDescent="0.2">
      <c r="B216" s="20"/>
    </row>
    <row r="217" spans="2:2" ht="14.25" customHeight="1" x14ac:dyDescent="0.2">
      <c r="B217" s="20"/>
    </row>
    <row r="218" spans="2:2" ht="14.25" customHeight="1" x14ac:dyDescent="0.2">
      <c r="B218" s="20"/>
    </row>
    <row r="219" spans="2:2" ht="14.25" customHeight="1" x14ac:dyDescent="0.2">
      <c r="B219" s="20"/>
    </row>
    <row r="220" spans="2:2" ht="14.25" customHeight="1" x14ac:dyDescent="0.2">
      <c r="B220" s="20"/>
    </row>
    <row r="221" spans="2:2" ht="15.75" customHeight="1" x14ac:dyDescent="0.2"/>
    <row r="222" spans="2:2" ht="15.75" customHeight="1" x14ac:dyDescent="0.2"/>
    <row r="223" spans="2:2" ht="15.75" customHeight="1" x14ac:dyDescent="0.2"/>
    <row r="224" spans="2:2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G1"/>
    <mergeCell ref="A5:G5"/>
    <mergeCell ref="B8:B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2.625" defaultRowHeight="15" customHeight="1" x14ac:dyDescent="0.2"/>
  <cols>
    <col min="1" max="1" width="9.125" customWidth="1"/>
    <col min="2" max="2" width="19" customWidth="1"/>
    <col min="3" max="3" width="49.625" customWidth="1"/>
    <col min="4" max="4" width="17.625" customWidth="1"/>
    <col min="5" max="5" width="18.875" customWidth="1"/>
    <col min="6" max="6" width="12.375" customWidth="1"/>
    <col min="7" max="7" width="17.875" customWidth="1"/>
    <col min="8" max="8" width="53.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04"/>
    </row>
    <row r="2" spans="1:26" ht="14.25" customHeight="1" x14ac:dyDescent="0.2">
      <c r="A2" s="2"/>
      <c r="B2" s="3"/>
      <c r="C2" s="4"/>
      <c r="D2" s="2" t="s">
        <v>47</v>
      </c>
      <c r="E2" s="2" t="s">
        <v>48</v>
      </c>
      <c r="F2" s="2"/>
      <c r="G2" s="2"/>
    </row>
    <row r="3" spans="1:26" ht="14.25" customHeight="1" x14ac:dyDescent="0.2">
      <c r="A3" s="5" t="s">
        <v>3</v>
      </c>
      <c r="B3" s="6" t="s">
        <v>4</v>
      </c>
      <c r="C3" s="4"/>
      <c r="D3" s="2"/>
      <c r="E3" s="2"/>
      <c r="F3" s="2"/>
      <c r="G3" s="2"/>
    </row>
    <row r="4" spans="1:26" ht="14.25" customHeight="1" x14ac:dyDescent="0.2">
      <c r="A4" s="2"/>
      <c r="B4" s="3"/>
      <c r="C4" s="4"/>
      <c r="D4" s="2"/>
      <c r="E4" s="2"/>
      <c r="F4" s="2"/>
      <c r="G4" s="2"/>
    </row>
    <row r="5" spans="1:26" ht="14.25" customHeight="1" x14ac:dyDescent="0.2">
      <c r="A5" s="105" t="s">
        <v>5</v>
      </c>
      <c r="B5" s="106"/>
      <c r="C5" s="106"/>
      <c r="D5" s="106"/>
      <c r="E5" s="106"/>
      <c r="F5" s="106"/>
      <c r="G5" s="106"/>
    </row>
    <row r="6" spans="1:26" ht="14.25" customHeight="1" x14ac:dyDescent="0.2">
      <c r="A6" s="8" t="s">
        <v>6</v>
      </c>
      <c r="B6" s="8" t="s">
        <v>7</v>
      </c>
      <c r="C6" s="8" t="s">
        <v>8</v>
      </c>
      <c r="D6" s="21" t="s">
        <v>9</v>
      </c>
      <c r="E6" s="21" t="s">
        <v>10</v>
      </c>
      <c r="F6" s="21" t="s">
        <v>11</v>
      </c>
      <c r="G6" s="21" t="s">
        <v>12</v>
      </c>
      <c r="H6" s="21" t="s">
        <v>49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4.25" customHeight="1" x14ac:dyDescent="0.2">
      <c r="A7" s="10">
        <v>1</v>
      </c>
      <c r="B7" s="85" t="s">
        <v>13</v>
      </c>
      <c r="C7" s="11" t="s">
        <v>50</v>
      </c>
      <c r="D7" s="13" t="s">
        <v>51</v>
      </c>
      <c r="E7" s="13" t="s">
        <v>51</v>
      </c>
      <c r="F7" s="15">
        <v>30</v>
      </c>
      <c r="G7" s="14" t="s">
        <v>15</v>
      </c>
      <c r="H7" s="11" t="s">
        <v>52</v>
      </c>
    </row>
    <row r="8" spans="1:26" ht="14.25" customHeight="1" x14ac:dyDescent="0.2">
      <c r="A8" s="10">
        <v>2</v>
      </c>
      <c r="B8" s="107" t="s">
        <v>34</v>
      </c>
      <c r="C8" s="11" t="s">
        <v>53</v>
      </c>
      <c r="D8" s="13" t="s">
        <v>51</v>
      </c>
      <c r="E8" s="13" t="s">
        <v>51</v>
      </c>
      <c r="F8" s="15">
        <v>50</v>
      </c>
      <c r="G8" s="14" t="s">
        <v>18</v>
      </c>
      <c r="H8" s="11" t="s">
        <v>54</v>
      </c>
    </row>
    <row r="9" spans="1:26" ht="14.25" customHeight="1" x14ac:dyDescent="0.2">
      <c r="A9" s="10">
        <v>3</v>
      </c>
      <c r="B9" s="109"/>
      <c r="C9" s="11" t="s">
        <v>55</v>
      </c>
      <c r="D9" s="13" t="s">
        <v>51</v>
      </c>
      <c r="E9" s="13" t="s">
        <v>51</v>
      </c>
      <c r="F9" s="15">
        <v>20</v>
      </c>
      <c r="G9" s="14" t="s">
        <v>15</v>
      </c>
      <c r="H9" s="11" t="s">
        <v>56</v>
      </c>
    </row>
    <row r="10" spans="1:26" ht="14.25" customHeight="1" x14ac:dyDescent="0.2">
      <c r="A10" s="17"/>
      <c r="B10" s="19"/>
      <c r="C10" s="4"/>
      <c r="D10" s="18"/>
      <c r="E10" s="18"/>
      <c r="F10" s="18"/>
      <c r="G10" s="4"/>
    </row>
    <row r="11" spans="1:26" ht="14.25" customHeight="1" x14ac:dyDescent="0.2">
      <c r="A11" s="17"/>
      <c r="B11" s="19"/>
      <c r="C11" s="19"/>
      <c r="D11" s="19"/>
      <c r="E11" s="19"/>
      <c r="F11" s="19"/>
      <c r="G11" s="19"/>
    </row>
    <row r="12" spans="1:26" ht="14.25" customHeight="1" x14ac:dyDescent="0.2">
      <c r="A12" s="17"/>
      <c r="B12" s="19"/>
      <c r="C12" s="4"/>
      <c r="D12" s="18"/>
      <c r="E12" s="18"/>
      <c r="F12" s="18"/>
      <c r="G12" s="4"/>
    </row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spans="12:12" ht="14.25" customHeight="1" x14ac:dyDescent="0.2"/>
    <row r="18" spans="12:12" ht="14.25" customHeight="1" x14ac:dyDescent="0.2">
      <c r="L18" s="23">
        <v>19</v>
      </c>
    </row>
    <row r="19" spans="12:12" ht="14.25" customHeight="1" x14ac:dyDescent="0.2"/>
    <row r="20" spans="12:12" ht="14.25" customHeight="1" x14ac:dyDescent="0.2"/>
    <row r="21" spans="12:12" ht="14.25" customHeight="1" x14ac:dyDescent="0.2"/>
    <row r="22" spans="12:12" ht="14.25" customHeight="1" x14ac:dyDescent="0.2"/>
    <row r="23" spans="12:12" ht="14.25" customHeight="1" x14ac:dyDescent="0.2"/>
    <row r="24" spans="12:12" ht="14.25" customHeight="1" x14ac:dyDescent="0.2"/>
    <row r="25" spans="12:12" ht="14.25" customHeight="1" x14ac:dyDescent="0.2"/>
    <row r="26" spans="12:12" ht="14.25" customHeight="1" x14ac:dyDescent="0.2"/>
    <row r="27" spans="12:12" ht="14.25" customHeight="1" x14ac:dyDescent="0.2"/>
    <row r="28" spans="12:12" ht="14.25" customHeight="1" x14ac:dyDescent="0.2"/>
    <row r="29" spans="12:12" ht="14.25" customHeight="1" x14ac:dyDescent="0.2"/>
    <row r="30" spans="12:12" ht="14.25" customHeight="1" x14ac:dyDescent="0.2"/>
    <row r="31" spans="12:12" ht="14.25" customHeight="1" x14ac:dyDescent="0.2"/>
    <row r="32" spans="12:1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G1"/>
    <mergeCell ref="A5:G5"/>
    <mergeCell ref="B8:B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53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57</v>
      </c>
      <c r="E2" s="2" t="s">
        <v>58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2" t="s">
        <v>34</v>
      </c>
      <c r="C7" s="24" t="s">
        <v>62</v>
      </c>
      <c r="D7" s="25">
        <v>45393</v>
      </c>
      <c r="E7" s="25">
        <v>45393</v>
      </c>
      <c r="F7" s="14" t="s">
        <v>18</v>
      </c>
      <c r="G7" s="14">
        <v>4</v>
      </c>
      <c r="H7" s="24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f t="shared" ref="A8:A14" si="0">A7+1</f>
        <v>2</v>
      </c>
      <c r="B8" s="108"/>
      <c r="C8" s="16" t="s">
        <v>63</v>
      </c>
      <c r="D8" s="25">
        <v>45393</v>
      </c>
      <c r="E8" s="25">
        <v>45393</v>
      </c>
      <c r="F8" s="14" t="s">
        <v>64</v>
      </c>
      <c r="G8" s="14">
        <v>18</v>
      </c>
      <c r="H8" s="24">
        <v>45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f t="shared" si="0"/>
        <v>3</v>
      </c>
      <c r="B9" s="108"/>
      <c r="C9" s="16" t="s">
        <v>65</v>
      </c>
      <c r="D9" s="25">
        <v>45423</v>
      </c>
      <c r="E9" s="25">
        <v>45423</v>
      </c>
      <c r="F9" s="14" t="s">
        <v>18</v>
      </c>
      <c r="G9" s="14">
        <v>4</v>
      </c>
      <c r="H9" s="24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f t="shared" si="0"/>
        <v>4</v>
      </c>
      <c r="B10" s="108"/>
      <c r="C10" s="16" t="s">
        <v>66</v>
      </c>
      <c r="D10" s="25">
        <v>45423</v>
      </c>
      <c r="E10" s="25">
        <v>45423</v>
      </c>
      <c r="F10" s="14" t="s">
        <v>18</v>
      </c>
      <c r="G10" s="14">
        <v>2</v>
      </c>
      <c r="H10" s="24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f t="shared" si="0"/>
        <v>5</v>
      </c>
      <c r="B11" s="108"/>
      <c r="C11" s="16" t="s">
        <v>67</v>
      </c>
      <c r="D11" s="25">
        <v>45484</v>
      </c>
      <c r="E11" s="25">
        <v>45484</v>
      </c>
      <c r="F11" s="14" t="s">
        <v>18</v>
      </c>
      <c r="G11" s="27">
        <v>3</v>
      </c>
      <c r="H11" s="24">
        <v>7.5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0">
        <f t="shared" si="0"/>
        <v>6</v>
      </c>
      <c r="B12" s="108"/>
      <c r="C12" s="16" t="s">
        <v>68</v>
      </c>
      <c r="D12" s="25">
        <v>45515</v>
      </c>
      <c r="E12" s="25">
        <v>45515</v>
      </c>
      <c r="F12" s="14" t="s">
        <v>18</v>
      </c>
      <c r="G12" s="27">
        <v>4</v>
      </c>
      <c r="H12" s="24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0">
        <f t="shared" si="0"/>
        <v>7</v>
      </c>
      <c r="B13" s="108"/>
      <c r="C13" s="16" t="s">
        <v>69</v>
      </c>
      <c r="D13" s="25">
        <v>45515</v>
      </c>
      <c r="E13" s="25">
        <v>45515</v>
      </c>
      <c r="F13" s="14" t="s">
        <v>18</v>
      </c>
      <c r="G13" s="14">
        <v>1</v>
      </c>
      <c r="H13" s="24">
        <v>2.5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0">
        <f t="shared" si="0"/>
        <v>8</v>
      </c>
      <c r="B14" s="108"/>
      <c r="C14" s="16" t="s">
        <v>70</v>
      </c>
      <c r="D14" s="25">
        <v>45515</v>
      </c>
      <c r="E14" s="25">
        <v>45515</v>
      </c>
      <c r="F14" s="14" t="s">
        <v>64</v>
      </c>
      <c r="G14" s="27">
        <v>4</v>
      </c>
      <c r="H14" s="24">
        <v>10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7"/>
      <c r="B15" s="2"/>
      <c r="C15" s="2"/>
      <c r="D15" s="2"/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53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71</v>
      </c>
      <c r="E2" s="2" t="s">
        <v>72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2" t="s">
        <v>34</v>
      </c>
      <c r="C7" s="24" t="s">
        <v>73</v>
      </c>
      <c r="D7" s="25">
        <v>45607</v>
      </c>
      <c r="E7" s="25">
        <v>45607</v>
      </c>
      <c r="F7" s="14" t="s">
        <v>15</v>
      </c>
      <c r="G7" s="14">
        <v>8</v>
      </c>
      <c r="H7" s="10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f t="shared" ref="A8:A20" si="0">A7+1</f>
        <v>2</v>
      </c>
      <c r="B8" s="108"/>
      <c r="C8" s="24" t="s">
        <v>74</v>
      </c>
      <c r="D8" s="25">
        <v>45607</v>
      </c>
      <c r="E8" s="25">
        <v>45607</v>
      </c>
      <c r="F8" s="14" t="s">
        <v>18</v>
      </c>
      <c r="G8" s="14">
        <v>2</v>
      </c>
      <c r="H8" s="10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f t="shared" si="0"/>
        <v>3</v>
      </c>
      <c r="B9" s="108"/>
      <c r="C9" s="24" t="s">
        <v>75</v>
      </c>
      <c r="D9" s="25">
        <v>45637</v>
      </c>
      <c r="E9" s="25">
        <v>45637</v>
      </c>
      <c r="F9" s="14" t="s">
        <v>18</v>
      </c>
      <c r="G9" s="14">
        <v>0.5</v>
      </c>
      <c r="H9" s="10">
        <v>1.25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f t="shared" si="0"/>
        <v>4</v>
      </c>
      <c r="B10" s="108"/>
      <c r="C10" s="24" t="s">
        <v>76</v>
      </c>
      <c r="D10" s="25">
        <v>45637</v>
      </c>
      <c r="E10" s="25">
        <v>45637</v>
      </c>
      <c r="F10" s="14" t="s">
        <v>18</v>
      </c>
      <c r="G10" s="14">
        <v>2.5</v>
      </c>
      <c r="H10" s="10">
        <v>6.25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f t="shared" si="0"/>
        <v>5</v>
      </c>
      <c r="B11" s="108"/>
      <c r="C11" s="24" t="s">
        <v>77</v>
      </c>
      <c r="D11" s="25">
        <v>45637</v>
      </c>
      <c r="E11" s="25">
        <v>45637</v>
      </c>
      <c r="F11" s="14" t="s">
        <v>18</v>
      </c>
      <c r="G11" s="27">
        <v>2</v>
      </c>
      <c r="H11" s="10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0">
        <f t="shared" si="0"/>
        <v>6</v>
      </c>
      <c r="B12" s="108"/>
      <c r="C12" s="24" t="s">
        <v>78</v>
      </c>
      <c r="D12" s="13" t="s">
        <v>79</v>
      </c>
      <c r="E12" s="13" t="s">
        <v>79</v>
      </c>
      <c r="F12" s="14" t="s">
        <v>18</v>
      </c>
      <c r="G12" s="27">
        <v>4</v>
      </c>
      <c r="H12" s="10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0">
        <f t="shared" si="0"/>
        <v>7</v>
      </c>
      <c r="B13" s="108"/>
      <c r="C13" s="24" t="s">
        <v>80</v>
      </c>
      <c r="D13" s="13" t="s">
        <v>79</v>
      </c>
      <c r="E13" s="13" t="s">
        <v>79</v>
      </c>
      <c r="F13" s="14" t="s">
        <v>18</v>
      </c>
      <c r="G13" s="14">
        <v>2</v>
      </c>
      <c r="H13" s="10">
        <v>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0">
        <f t="shared" si="0"/>
        <v>8</v>
      </c>
      <c r="B14" s="108"/>
      <c r="C14" s="24" t="s">
        <v>81</v>
      </c>
      <c r="D14" s="13" t="s">
        <v>82</v>
      </c>
      <c r="E14" s="13" t="s">
        <v>82</v>
      </c>
      <c r="F14" s="14" t="s">
        <v>18</v>
      </c>
      <c r="G14" s="14">
        <v>2</v>
      </c>
      <c r="H14" s="10">
        <v>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0">
        <f t="shared" si="0"/>
        <v>9</v>
      </c>
      <c r="B15" s="108"/>
      <c r="C15" s="24" t="s">
        <v>83</v>
      </c>
      <c r="D15" s="13" t="s">
        <v>82</v>
      </c>
      <c r="E15" s="13" t="s">
        <v>82</v>
      </c>
      <c r="F15" s="14" t="s">
        <v>18</v>
      </c>
      <c r="G15" s="14">
        <v>4</v>
      </c>
      <c r="H15" s="10">
        <v>10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0">
        <f t="shared" si="0"/>
        <v>10</v>
      </c>
      <c r="B16" s="108"/>
      <c r="C16" s="24" t="s">
        <v>84</v>
      </c>
      <c r="D16" s="13" t="s">
        <v>85</v>
      </c>
      <c r="E16" s="13" t="s">
        <v>85</v>
      </c>
      <c r="F16" s="14" t="s">
        <v>18</v>
      </c>
      <c r="G16" s="14">
        <v>4</v>
      </c>
      <c r="H16" s="10">
        <v>10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10">
        <f t="shared" si="0"/>
        <v>11</v>
      </c>
      <c r="B17" s="109"/>
      <c r="C17" s="24" t="s">
        <v>70</v>
      </c>
      <c r="D17" s="13" t="s">
        <v>85</v>
      </c>
      <c r="E17" s="13" t="s">
        <v>85</v>
      </c>
      <c r="F17" s="14" t="s">
        <v>18</v>
      </c>
      <c r="G17" s="14">
        <v>2</v>
      </c>
      <c r="H17" s="10">
        <v>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10">
        <f t="shared" si="0"/>
        <v>12</v>
      </c>
      <c r="B18" s="7" t="s">
        <v>86</v>
      </c>
      <c r="C18" s="24" t="s">
        <v>87</v>
      </c>
      <c r="D18" s="25">
        <v>45607</v>
      </c>
      <c r="E18" s="25">
        <v>45607</v>
      </c>
      <c r="F18" s="14" t="s">
        <v>18</v>
      </c>
      <c r="G18" s="14">
        <v>4</v>
      </c>
      <c r="H18" s="10">
        <v>10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10">
        <f t="shared" si="0"/>
        <v>13</v>
      </c>
      <c r="B19" s="112" t="s">
        <v>22</v>
      </c>
      <c r="C19" s="24" t="s">
        <v>88</v>
      </c>
      <c r="D19" s="25">
        <v>45607</v>
      </c>
      <c r="E19" s="25">
        <v>45607</v>
      </c>
      <c r="F19" s="14" t="s">
        <v>18</v>
      </c>
      <c r="G19" s="14">
        <v>1</v>
      </c>
      <c r="H19" s="10">
        <v>2.5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10">
        <f t="shared" si="0"/>
        <v>14</v>
      </c>
      <c r="B20" s="109"/>
      <c r="C20" s="24" t="s">
        <v>89</v>
      </c>
      <c r="D20" s="13" t="s">
        <v>85</v>
      </c>
      <c r="E20" s="13" t="s">
        <v>85</v>
      </c>
      <c r="F20" s="14" t="s">
        <v>18</v>
      </c>
      <c r="G20" s="14">
        <v>2</v>
      </c>
      <c r="H20" s="10">
        <v>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7"/>
    <mergeCell ref="B19:B2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75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90</v>
      </c>
      <c r="E2" s="2" t="s">
        <v>91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2" t="s">
        <v>34</v>
      </c>
      <c r="C7" s="24" t="s">
        <v>92</v>
      </c>
      <c r="D7" s="87">
        <v>45615</v>
      </c>
      <c r="E7" s="87">
        <v>45615</v>
      </c>
      <c r="F7" s="14" t="s">
        <v>18</v>
      </c>
      <c r="G7" s="26">
        <v>16</v>
      </c>
      <c r="H7" s="10">
        <v>40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f t="shared" ref="A8:A16" si="0">A7+1</f>
        <v>2</v>
      </c>
      <c r="B8" s="108"/>
      <c r="C8" s="24" t="s">
        <v>93</v>
      </c>
      <c r="D8" s="87">
        <v>45616</v>
      </c>
      <c r="E8" s="87">
        <v>45616</v>
      </c>
      <c r="F8" s="14" t="s">
        <v>18</v>
      </c>
      <c r="G8" s="26">
        <v>0.5</v>
      </c>
      <c r="H8" s="10">
        <v>1.25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f t="shared" si="0"/>
        <v>3</v>
      </c>
      <c r="B9" s="108"/>
      <c r="C9" s="24" t="s">
        <v>94</v>
      </c>
      <c r="D9" s="87">
        <v>45616</v>
      </c>
      <c r="E9" s="87">
        <v>45616</v>
      </c>
      <c r="F9" s="14" t="s">
        <v>18</v>
      </c>
      <c r="G9" s="26">
        <v>2</v>
      </c>
      <c r="H9" s="10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f t="shared" si="0"/>
        <v>4</v>
      </c>
      <c r="B10" s="108"/>
      <c r="C10" s="24" t="s">
        <v>95</v>
      </c>
      <c r="D10" s="87">
        <v>45617</v>
      </c>
      <c r="E10" s="87">
        <v>45617</v>
      </c>
      <c r="F10" s="14" t="s">
        <v>18</v>
      </c>
      <c r="G10" s="26">
        <v>1</v>
      </c>
      <c r="H10" s="10">
        <v>2.5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f t="shared" si="0"/>
        <v>5</v>
      </c>
      <c r="B11" s="108"/>
      <c r="C11" s="24" t="s">
        <v>96</v>
      </c>
      <c r="D11" s="87">
        <v>45617</v>
      </c>
      <c r="E11" s="87">
        <v>45617</v>
      </c>
      <c r="F11" s="14" t="s">
        <v>18</v>
      </c>
      <c r="G11" s="26">
        <v>4</v>
      </c>
      <c r="H11" s="10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0">
        <f t="shared" si="0"/>
        <v>6</v>
      </c>
      <c r="B12" s="109"/>
      <c r="C12" s="24" t="s">
        <v>97</v>
      </c>
      <c r="D12" s="87">
        <v>45617</v>
      </c>
      <c r="E12" s="87">
        <v>45617</v>
      </c>
      <c r="F12" s="14" t="s">
        <v>15</v>
      </c>
      <c r="G12" s="26">
        <v>2</v>
      </c>
      <c r="H12" s="10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0">
        <f t="shared" si="0"/>
        <v>7</v>
      </c>
      <c r="B13" s="112" t="s">
        <v>86</v>
      </c>
      <c r="C13" s="24" t="s">
        <v>98</v>
      </c>
      <c r="D13" s="87">
        <v>45614</v>
      </c>
      <c r="E13" s="87">
        <v>45614</v>
      </c>
      <c r="F13" s="14" t="s">
        <v>18</v>
      </c>
      <c r="G13" s="14">
        <v>1</v>
      </c>
      <c r="H13" s="10">
        <v>2.5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0">
        <f t="shared" si="0"/>
        <v>8</v>
      </c>
      <c r="B14" s="108"/>
      <c r="C14" s="24" t="s">
        <v>87</v>
      </c>
      <c r="D14" s="87">
        <v>45616</v>
      </c>
      <c r="E14" s="87">
        <v>45616</v>
      </c>
      <c r="F14" s="14" t="s">
        <v>18</v>
      </c>
      <c r="G14" s="14">
        <v>4</v>
      </c>
      <c r="H14" s="10">
        <v>10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0">
        <f t="shared" si="0"/>
        <v>9</v>
      </c>
      <c r="B15" s="109"/>
      <c r="C15" s="24" t="s">
        <v>87</v>
      </c>
      <c r="D15" s="87">
        <v>45618</v>
      </c>
      <c r="E15" s="87">
        <v>45618</v>
      </c>
      <c r="F15" s="14" t="s">
        <v>18</v>
      </c>
      <c r="G15" s="14">
        <v>8</v>
      </c>
      <c r="H15" s="10">
        <v>20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10">
        <f t="shared" si="0"/>
        <v>10</v>
      </c>
      <c r="B16" s="86" t="s">
        <v>22</v>
      </c>
      <c r="C16" s="24" t="s">
        <v>99</v>
      </c>
      <c r="D16" s="87">
        <v>45614</v>
      </c>
      <c r="E16" s="87">
        <v>45614</v>
      </c>
      <c r="F16" s="14" t="s">
        <v>18</v>
      </c>
      <c r="G16" s="14">
        <v>1.5</v>
      </c>
      <c r="H16" s="10">
        <v>3.75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2"/>
    <mergeCell ref="B13:B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75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100</v>
      </c>
      <c r="E2" s="2" t="s">
        <v>101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2" t="s">
        <v>34</v>
      </c>
      <c r="C7" s="16" t="s">
        <v>84</v>
      </c>
      <c r="D7" s="28" t="s">
        <v>102</v>
      </c>
      <c r="E7" s="28" t="s">
        <v>102</v>
      </c>
      <c r="F7" s="14" t="s">
        <v>18</v>
      </c>
      <c r="G7" s="27">
        <v>4</v>
      </c>
      <c r="H7" s="10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f t="shared" ref="A8:A12" si="0">A7+1</f>
        <v>2</v>
      </c>
      <c r="B8" s="108"/>
      <c r="C8" s="16" t="s">
        <v>103</v>
      </c>
      <c r="D8" s="28" t="s">
        <v>102</v>
      </c>
      <c r="E8" s="28" t="s">
        <v>102</v>
      </c>
      <c r="F8" s="14" t="s">
        <v>18</v>
      </c>
      <c r="G8" s="27">
        <v>4</v>
      </c>
      <c r="H8" s="10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f t="shared" si="0"/>
        <v>3</v>
      </c>
      <c r="B9" s="108"/>
      <c r="C9" s="16" t="s">
        <v>104</v>
      </c>
      <c r="D9" s="28" t="s">
        <v>105</v>
      </c>
      <c r="E9" s="28" t="s">
        <v>105</v>
      </c>
      <c r="F9" s="14" t="s">
        <v>18</v>
      </c>
      <c r="G9" s="27">
        <v>4</v>
      </c>
      <c r="H9" s="10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f t="shared" si="0"/>
        <v>4</v>
      </c>
      <c r="B10" s="108"/>
      <c r="C10" s="16" t="s">
        <v>106</v>
      </c>
      <c r="D10" s="28" t="s">
        <v>107</v>
      </c>
      <c r="E10" s="28" t="s">
        <v>107</v>
      </c>
      <c r="F10" s="14" t="s">
        <v>18</v>
      </c>
      <c r="G10" s="27">
        <v>8</v>
      </c>
      <c r="H10" s="10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f t="shared" si="0"/>
        <v>5</v>
      </c>
      <c r="B11" s="108"/>
      <c r="C11" s="16" t="s">
        <v>108</v>
      </c>
      <c r="D11" s="28" t="s">
        <v>107</v>
      </c>
      <c r="E11" s="28" t="s">
        <v>107</v>
      </c>
      <c r="F11" s="14" t="s">
        <v>18</v>
      </c>
      <c r="G11" s="27">
        <v>10</v>
      </c>
      <c r="H11" s="10">
        <v>25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0">
        <f t="shared" si="0"/>
        <v>6</v>
      </c>
      <c r="B12" s="109"/>
      <c r="C12" s="16" t="s">
        <v>73</v>
      </c>
      <c r="D12" s="28" t="s">
        <v>107</v>
      </c>
      <c r="E12" s="28" t="s">
        <v>107</v>
      </c>
      <c r="F12" s="14" t="s">
        <v>15</v>
      </c>
      <c r="G12" s="14">
        <v>10</v>
      </c>
      <c r="H12" s="10">
        <v>25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75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109</v>
      </c>
      <c r="E2" s="2" t="s">
        <v>110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2" t="s">
        <v>34</v>
      </c>
      <c r="C7" s="28" t="s">
        <v>111</v>
      </c>
      <c r="D7" s="29">
        <v>45628</v>
      </c>
      <c r="E7" s="29">
        <v>45628</v>
      </c>
      <c r="F7" s="14" t="s">
        <v>15</v>
      </c>
      <c r="G7" s="12">
        <v>15</v>
      </c>
      <c r="H7" s="24">
        <v>37.5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f t="shared" ref="A8:A11" si="0">A7+1</f>
        <v>2</v>
      </c>
      <c r="B8" s="108"/>
      <c r="C8" s="16" t="s">
        <v>112</v>
      </c>
      <c r="D8" s="29">
        <v>45629</v>
      </c>
      <c r="E8" s="29">
        <v>45629</v>
      </c>
      <c r="F8" s="14" t="s">
        <v>18</v>
      </c>
      <c r="G8" s="12">
        <v>4</v>
      </c>
      <c r="H8" s="24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f t="shared" si="0"/>
        <v>3</v>
      </c>
      <c r="B9" s="108"/>
      <c r="C9" s="16" t="s">
        <v>113</v>
      </c>
      <c r="D9" s="29">
        <v>45629</v>
      </c>
      <c r="E9" s="29">
        <v>45629</v>
      </c>
      <c r="F9" s="14" t="s">
        <v>18</v>
      </c>
      <c r="G9" s="12">
        <v>2</v>
      </c>
      <c r="H9" s="24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f t="shared" si="0"/>
        <v>4</v>
      </c>
      <c r="B10" s="109"/>
      <c r="C10" s="16" t="s">
        <v>114</v>
      </c>
      <c r="D10" s="29">
        <v>45630</v>
      </c>
      <c r="E10" s="29">
        <v>45630</v>
      </c>
      <c r="F10" s="14" t="s">
        <v>18</v>
      </c>
      <c r="G10" s="12">
        <v>15</v>
      </c>
      <c r="H10" s="24">
        <v>37.5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f t="shared" si="0"/>
        <v>5</v>
      </c>
      <c r="B11" s="24" t="s">
        <v>86</v>
      </c>
      <c r="C11" s="24" t="s">
        <v>87</v>
      </c>
      <c r="D11" s="29">
        <v>45628</v>
      </c>
      <c r="E11" s="29">
        <v>45628</v>
      </c>
      <c r="F11" s="14" t="s">
        <v>18</v>
      </c>
      <c r="G11" s="12">
        <v>4</v>
      </c>
      <c r="H11" s="24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0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75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115</v>
      </c>
      <c r="E2" s="2" t="s">
        <v>116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24" t="s">
        <v>34</v>
      </c>
      <c r="C7" s="16" t="s">
        <v>117</v>
      </c>
      <c r="D7" s="29">
        <v>45635</v>
      </c>
      <c r="E7" s="29">
        <v>45635</v>
      </c>
      <c r="F7" s="14" t="s">
        <v>15</v>
      </c>
      <c r="G7" s="12">
        <v>35</v>
      </c>
      <c r="H7" s="24">
        <v>87.5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v>2</v>
      </c>
      <c r="B8" s="24" t="s">
        <v>118</v>
      </c>
      <c r="C8" s="16" t="s">
        <v>119</v>
      </c>
      <c r="D8" s="29">
        <v>45636</v>
      </c>
      <c r="E8" s="29">
        <v>45636</v>
      </c>
      <c r="F8" s="14" t="s">
        <v>18</v>
      </c>
      <c r="G8" s="12">
        <v>4</v>
      </c>
      <c r="H8" s="24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v>3</v>
      </c>
      <c r="B9" s="24" t="s">
        <v>22</v>
      </c>
      <c r="C9" s="16" t="s">
        <v>120</v>
      </c>
      <c r="D9" s="29">
        <v>45639</v>
      </c>
      <c r="E9" s="29">
        <v>45639</v>
      </c>
      <c r="F9" s="14" t="s">
        <v>18</v>
      </c>
      <c r="G9" s="12">
        <v>1</v>
      </c>
      <c r="H9" s="24">
        <v>2.5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75.12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121</v>
      </c>
      <c r="E2" s="2" t="s">
        <v>122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24" t="s">
        <v>34</v>
      </c>
      <c r="C7" s="16" t="s">
        <v>123</v>
      </c>
      <c r="D7" s="30" t="s">
        <v>124</v>
      </c>
      <c r="E7" s="30" t="s">
        <v>124</v>
      </c>
      <c r="F7" s="14" t="s">
        <v>15</v>
      </c>
      <c r="G7" s="12">
        <v>40</v>
      </c>
      <c r="H7" s="24">
        <v>100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2"/>
      <c r="B8" s="2"/>
      <c r="C8" s="2"/>
      <c r="D8" s="2"/>
      <c r="E8" s="2"/>
      <c r="F8" s="4"/>
      <c r="G8" s="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4"/>
      <c r="G9" s="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/>
      <c r="C10" s="2"/>
      <c r="D10" s="2"/>
      <c r="E10" s="2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2"/>
      <c r="B11" s="2"/>
      <c r="C11" s="2"/>
      <c r="D11" s="2"/>
      <c r="E11" s="2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/>
      <c r="B12" s="2"/>
      <c r="C12" s="2"/>
      <c r="D12" s="2"/>
      <c r="E12" s="2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51.37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125</v>
      </c>
      <c r="E2" s="2" t="s">
        <v>126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3" t="s">
        <v>34</v>
      </c>
      <c r="C7" s="16" t="s">
        <v>117</v>
      </c>
      <c r="D7" s="29">
        <v>45649</v>
      </c>
      <c r="E7" s="29">
        <v>45649</v>
      </c>
      <c r="F7" s="14" t="s">
        <v>15</v>
      </c>
      <c r="G7" s="12">
        <v>26</v>
      </c>
      <c r="H7" s="24">
        <v>65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v>2</v>
      </c>
      <c r="B8" s="108"/>
      <c r="C8" s="16" t="s">
        <v>127</v>
      </c>
      <c r="D8" s="29">
        <v>45652</v>
      </c>
      <c r="E8" s="29">
        <v>45652</v>
      </c>
      <c r="F8" s="14" t="s">
        <v>18</v>
      </c>
      <c r="G8" s="12">
        <v>4</v>
      </c>
      <c r="H8" s="24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v>3</v>
      </c>
      <c r="B9" s="108"/>
      <c r="C9" s="16" t="s">
        <v>128</v>
      </c>
      <c r="D9" s="29">
        <v>45652</v>
      </c>
      <c r="E9" s="29">
        <v>45652</v>
      </c>
      <c r="F9" s="14" t="s">
        <v>18</v>
      </c>
      <c r="G9" s="12">
        <v>2</v>
      </c>
      <c r="H9" s="24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v>4</v>
      </c>
      <c r="B10" s="108"/>
      <c r="C10" s="16" t="s">
        <v>129</v>
      </c>
      <c r="D10" s="29">
        <v>45653</v>
      </c>
      <c r="E10" s="29">
        <v>45653</v>
      </c>
      <c r="F10" s="14" t="s">
        <v>18</v>
      </c>
      <c r="G10" s="12">
        <v>4</v>
      </c>
      <c r="H10" s="24">
        <v>10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v>5</v>
      </c>
      <c r="B11" s="108"/>
      <c r="C11" s="16" t="s">
        <v>130</v>
      </c>
      <c r="D11" s="29">
        <v>45653</v>
      </c>
      <c r="E11" s="29">
        <v>45653</v>
      </c>
      <c r="F11" s="14" t="s">
        <v>18</v>
      </c>
      <c r="G11" s="12">
        <v>2</v>
      </c>
      <c r="H11" s="24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0">
        <v>6</v>
      </c>
      <c r="B12" s="109"/>
      <c r="C12" s="16" t="s">
        <v>131</v>
      </c>
      <c r="D12" s="29">
        <v>45653</v>
      </c>
      <c r="E12" s="29">
        <v>45653</v>
      </c>
      <c r="F12" s="14" t="s">
        <v>18</v>
      </c>
      <c r="G12" s="12">
        <v>2</v>
      </c>
      <c r="H12" s="24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2.625" defaultRowHeight="15" customHeight="1" x14ac:dyDescent="0.2"/>
  <cols>
    <col min="1" max="1" width="9" customWidth="1"/>
    <col min="2" max="2" width="17.625" customWidth="1"/>
    <col min="3" max="3" width="51.375" customWidth="1"/>
    <col min="4" max="5" width="20.375" customWidth="1"/>
    <col min="6" max="6" width="29.375" customWidth="1"/>
    <col min="7" max="7" width="17.125" customWidth="1"/>
    <col min="8" max="26" width="11.625" customWidth="1"/>
  </cols>
  <sheetData>
    <row r="1" spans="1:26" ht="15.7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2"/>
      <c r="B2" s="2"/>
      <c r="C2" s="2"/>
      <c r="D2" s="2" t="s">
        <v>132</v>
      </c>
      <c r="E2" s="2" t="s">
        <v>133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10">
        <v>1</v>
      </c>
      <c r="B7" s="113" t="s">
        <v>34</v>
      </c>
      <c r="C7" s="16" t="s">
        <v>134</v>
      </c>
      <c r="D7" s="29">
        <v>45656</v>
      </c>
      <c r="E7" s="29">
        <v>45656</v>
      </c>
      <c r="F7" s="14" t="s">
        <v>15</v>
      </c>
      <c r="G7" s="27">
        <v>10</v>
      </c>
      <c r="H7" s="24">
        <v>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0">
        <v>2</v>
      </c>
      <c r="B8" s="108"/>
      <c r="C8" s="16" t="s">
        <v>135</v>
      </c>
      <c r="D8" s="87">
        <v>45656</v>
      </c>
      <c r="E8" s="87">
        <v>45656</v>
      </c>
      <c r="F8" s="14" t="s">
        <v>18</v>
      </c>
      <c r="G8" s="27">
        <v>4</v>
      </c>
      <c r="H8" s="24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10">
        <v>3</v>
      </c>
      <c r="B9" s="108"/>
      <c r="C9" s="16" t="s">
        <v>136</v>
      </c>
      <c r="D9" s="87">
        <v>45657</v>
      </c>
      <c r="E9" s="87">
        <v>45657</v>
      </c>
      <c r="F9" s="14" t="s">
        <v>18</v>
      </c>
      <c r="G9" s="27">
        <v>2</v>
      </c>
      <c r="H9" s="24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10">
        <v>4</v>
      </c>
      <c r="B10" s="108"/>
      <c r="C10" s="16" t="s">
        <v>137</v>
      </c>
      <c r="D10" s="87">
        <v>45657</v>
      </c>
      <c r="E10" s="87">
        <v>45657</v>
      </c>
      <c r="F10" s="14" t="s">
        <v>18</v>
      </c>
      <c r="G10" s="27">
        <v>4</v>
      </c>
      <c r="H10" s="24">
        <v>10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10">
        <v>5</v>
      </c>
      <c r="B11" s="108"/>
      <c r="C11" s="16" t="s">
        <v>138</v>
      </c>
      <c r="D11" s="87">
        <v>45659</v>
      </c>
      <c r="E11" s="87">
        <v>45659</v>
      </c>
      <c r="F11" s="14" t="s">
        <v>18</v>
      </c>
      <c r="G11" s="27">
        <v>2</v>
      </c>
      <c r="H11" s="24">
        <v>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10">
        <v>6</v>
      </c>
      <c r="B12" s="108"/>
      <c r="C12" s="16" t="s">
        <v>139</v>
      </c>
      <c r="D12" s="87">
        <v>45659</v>
      </c>
      <c r="E12" s="87">
        <v>45659</v>
      </c>
      <c r="F12" s="14" t="s">
        <v>18</v>
      </c>
      <c r="G12" s="27">
        <v>2</v>
      </c>
      <c r="H12" s="24">
        <v>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0">
        <v>7</v>
      </c>
      <c r="B13" s="109"/>
      <c r="C13" s="16" t="s">
        <v>140</v>
      </c>
      <c r="D13" s="87">
        <v>45659</v>
      </c>
      <c r="E13" s="87">
        <v>45659</v>
      </c>
      <c r="F13" s="14" t="s">
        <v>18</v>
      </c>
      <c r="G13" s="27">
        <v>6</v>
      </c>
      <c r="H13" s="24">
        <v>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10">
        <v>8</v>
      </c>
      <c r="B14" s="113" t="s">
        <v>86</v>
      </c>
      <c r="C14" s="16" t="s">
        <v>141</v>
      </c>
      <c r="D14" s="87">
        <v>45658</v>
      </c>
      <c r="E14" s="87">
        <v>45658</v>
      </c>
      <c r="F14" s="14" t="s">
        <v>18</v>
      </c>
      <c r="G14" s="27">
        <v>8</v>
      </c>
      <c r="H14" s="24">
        <v>20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10">
        <v>9</v>
      </c>
      <c r="B15" s="109"/>
      <c r="C15" s="16" t="s">
        <v>142</v>
      </c>
      <c r="D15" s="87">
        <v>45657</v>
      </c>
      <c r="E15" s="87">
        <v>45657</v>
      </c>
      <c r="F15" s="14" t="s">
        <v>18</v>
      </c>
      <c r="G15" s="27">
        <v>2</v>
      </c>
      <c r="H15" s="24">
        <v>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3"/>
    <mergeCell ref="B14:B15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16.5" customWidth="1"/>
    <col min="3" max="3" width="62.6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143</v>
      </c>
      <c r="E2" s="2" t="s">
        <v>144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3" t="s">
        <v>34</v>
      </c>
      <c r="C7" s="16" t="s">
        <v>140</v>
      </c>
      <c r="D7" s="31">
        <v>45663</v>
      </c>
      <c r="E7" s="87">
        <v>45663</v>
      </c>
      <c r="F7" s="14" t="s">
        <v>18</v>
      </c>
      <c r="G7" s="27">
        <v>4</v>
      </c>
      <c r="H7" s="24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8"/>
      <c r="C8" s="16" t="s">
        <v>145</v>
      </c>
      <c r="D8" s="31">
        <v>45663</v>
      </c>
      <c r="E8" s="87">
        <v>45663</v>
      </c>
      <c r="F8" s="14" t="s">
        <v>18</v>
      </c>
      <c r="G8" s="26">
        <v>2</v>
      </c>
      <c r="H8" s="24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4</v>
      </c>
      <c r="B9" s="108"/>
      <c r="C9" s="16" t="s">
        <v>146</v>
      </c>
      <c r="D9" s="31">
        <v>45663</v>
      </c>
      <c r="E9" s="87">
        <v>45663</v>
      </c>
      <c r="F9" s="14" t="s">
        <v>15</v>
      </c>
      <c r="G9" s="26">
        <v>24</v>
      </c>
      <c r="H9" s="24">
        <v>60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5</v>
      </c>
      <c r="B10" s="109"/>
      <c r="C10" s="16" t="s">
        <v>147</v>
      </c>
      <c r="D10" s="31">
        <v>45663</v>
      </c>
      <c r="E10" s="87">
        <v>45663</v>
      </c>
      <c r="F10" s="14" t="s">
        <v>15</v>
      </c>
      <c r="G10" s="26">
        <v>10</v>
      </c>
      <c r="H10" s="24">
        <v>25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I11" s="2"/>
    </row>
    <row r="12" spans="1:26" ht="14.25" customHeight="1" x14ac:dyDescent="0.2"/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62.6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148</v>
      </c>
      <c r="E2" s="2" t="s">
        <v>149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3" t="s">
        <v>34</v>
      </c>
      <c r="C7" s="16" t="s">
        <v>150</v>
      </c>
      <c r="D7" s="29">
        <v>45670</v>
      </c>
      <c r="E7" s="29">
        <v>45670</v>
      </c>
      <c r="F7" s="14" t="s">
        <v>15</v>
      </c>
      <c r="G7" s="27">
        <v>24</v>
      </c>
      <c r="H7" s="24">
        <v>60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8"/>
      <c r="C8" s="16" t="s">
        <v>151</v>
      </c>
      <c r="D8" s="29">
        <v>45673</v>
      </c>
      <c r="E8" s="29">
        <v>45673</v>
      </c>
      <c r="F8" s="14" t="s">
        <v>18</v>
      </c>
      <c r="G8" s="26">
        <v>4</v>
      </c>
      <c r="H8" s="24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4</v>
      </c>
      <c r="B9" s="109"/>
      <c r="C9" s="16" t="s">
        <v>152</v>
      </c>
      <c r="D9" s="29">
        <v>45673</v>
      </c>
      <c r="E9" s="29">
        <v>45673</v>
      </c>
      <c r="F9" s="14" t="s">
        <v>18</v>
      </c>
      <c r="G9" s="26">
        <v>4</v>
      </c>
      <c r="H9" s="24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5</v>
      </c>
      <c r="B10" s="10" t="s">
        <v>153</v>
      </c>
      <c r="C10" s="16" t="s">
        <v>154</v>
      </c>
      <c r="D10" s="29">
        <v>45674</v>
      </c>
      <c r="E10" s="29">
        <v>45674</v>
      </c>
      <c r="F10" s="14" t="s">
        <v>18</v>
      </c>
      <c r="G10" s="26">
        <v>8</v>
      </c>
      <c r="H10" s="24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I11" s="2"/>
    </row>
    <row r="12" spans="1:26" ht="14.25" customHeight="1" x14ac:dyDescent="0.2">
      <c r="I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9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62.6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155</v>
      </c>
      <c r="E2" s="2" t="s">
        <v>156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3" t="s">
        <v>34</v>
      </c>
      <c r="C7" s="16" t="s">
        <v>157</v>
      </c>
      <c r="D7" s="29">
        <v>45677</v>
      </c>
      <c r="E7" s="29">
        <v>45677</v>
      </c>
      <c r="F7" s="14" t="s">
        <v>18</v>
      </c>
      <c r="G7" s="26">
        <v>4</v>
      </c>
      <c r="H7" s="24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8"/>
      <c r="C8" s="16" t="s">
        <v>158</v>
      </c>
      <c r="D8" s="29">
        <v>45677</v>
      </c>
      <c r="E8" s="29">
        <v>45677</v>
      </c>
      <c r="F8" s="14" t="s">
        <v>18</v>
      </c>
      <c r="G8" s="26">
        <v>4</v>
      </c>
      <c r="H8" s="24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16" t="s">
        <v>158</v>
      </c>
      <c r="D9" s="29">
        <v>45678</v>
      </c>
      <c r="E9" s="29">
        <v>45678</v>
      </c>
      <c r="F9" s="14" t="s">
        <v>18</v>
      </c>
      <c r="G9" s="26">
        <v>4</v>
      </c>
      <c r="H9" s="24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8"/>
      <c r="C10" s="16" t="s">
        <v>159</v>
      </c>
      <c r="D10" s="29">
        <v>45678</v>
      </c>
      <c r="E10" s="29">
        <v>45678</v>
      </c>
      <c r="F10" s="14" t="s">
        <v>18</v>
      </c>
      <c r="G10" s="26">
        <v>4</v>
      </c>
      <c r="H10" s="24">
        <v>10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10">
        <v>5</v>
      </c>
      <c r="B11" s="109"/>
      <c r="C11" s="16" t="s">
        <v>73</v>
      </c>
      <c r="D11" s="29">
        <v>45679</v>
      </c>
      <c r="E11" s="29">
        <v>45679</v>
      </c>
      <c r="F11" s="14" t="s">
        <v>15</v>
      </c>
      <c r="G11" s="26">
        <v>8</v>
      </c>
      <c r="H11" s="24">
        <v>20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10">
        <v>6</v>
      </c>
      <c r="B12" s="10" t="s">
        <v>87</v>
      </c>
      <c r="C12" s="16" t="s">
        <v>154</v>
      </c>
      <c r="D12" s="29">
        <v>45680</v>
      </c>
      <c r="E12" s="29">
        <v>45680</v>
      </c>
      <c r="F12" s="14" t="s">
        <v>18</v>
      </c>
      <c r="G12" s="26">
        <v>16</v>
      </c>
      <c r="H12" s="24">
        <v>40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1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62.6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160</v>
      </c>
      <c r="E2" s="2" t="s">
        <v>161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32" t="s">
        <v>153</v>
      </c>
      <c r="C7" s="33" t="s">
        <v>162</v>
      </c>
      <c r="D7" s="34">
        <v>45691</v>
      </c>
      <c r="E7" s="34">
        <v>45691</v>
      </c>
      <c r="F7" s="14" t="s">
        <v>18</v>
      </c>
      <c r="G7" s="35">
        <v>8</v>
      </c>
      <c r="H7" s="24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14" t="s">
        <v>34</v>
      </c>
      <c r="C8" s="33" t="s">
        <v>73</v>
      </c>
      <c r="D8" s="34">
        <v>45692</v>
      </c>
      <c r="E8" s="34">
        <v>45692</v>
      </c>
      <c r="F8" s="14" t="s">
        <v>18</v>
      </c>
      <c r="G8" s="35">
        <v>12</v>
      </c>
      <c r="H8" s="24">
        <v>30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33" t="s">
        <v>163</v>
      </c>
      <c r="D9" s="34">
        <v>45693</v>
      </c>
      <c r="E9" s="34">
        <v>45693</v>
      </c>
      <c r="F9" s="14" t="s">
        <v>18</v>
      </c>
      <c r="G9" s="35">
        <v>8</v>
      </c>
      <c r="H9" s="24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9"/>
      <c r="C10" s="33" t="s">
        <v>164</v>
      </c>
      <c r="D10" s="34">
        <v>45694</v>
      </c>
      <c r="E10" s="34">
        <v>45694</v>
      </c>
      <c r="F10" s="14" t="s">
        <v>18</v>
      </c>
      <c r="G10" s="35">
        <v>2</v>
      </c>
      <c r="H10" s="24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10">
        <v>5</v>
      </c>
      <c r="B11" s="36" t="s">
        <v>165</v>
      </c>
      <c r="C11" s="33" t="s">
        <v>166</v>
      </c>
      <c r="D11" s="34">
        <v>45694</v>
      </c>
      <c r="E11" s="34">
        <v>45694</v>
      </c>
      <c r="F11" s="14" t="s">
        <v>18</v>
      </c>
      <c r="G11" s="35">
        <v>2</v>
      </c>
      <c r="H11" s="38">
        <v>5</v>
      </c>
      <c r="I11" s="2"/>
      <c r="J11" s="2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 x14ac:dyDescent="0.25">
      <c r="A12" s="10">
        <v>6</v>
      </c>
      <c r="B12" s="36" t="s">
        <v>87</v>
      </c>
      <c r="C12" s="33" t="s">
        <v>167</v>
      </c>
      <c r="D12" s="34">
        <v>45695</v>
      </c>
      <c r="E12" s="34">
        <v>45695</v>
      </c>
      <c r="F12" s="14" t="s">
        <v>18</v>
      </c>
      <c r="G12" s="35">
        <v>4</v>
      </c>
      <c r="H12" s="38">
        <v>10</v>
      </c>
      <c r="I12" s="2"/>
      <c r="J12" s="2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14.25" customHeight="1" x14ac:dyDescent="0.25">
      <c r="A13" s="10">
        <v>7</v>
      </c>
      <c r="B13" s="36" t="s">
        <v>118</v>
      </c>
      <c r="C13" s="33" t="s">
        <v>168</v>
      </c>
      <c r="D13" s="34">
        <v>45695</v>
      </c>
      <c r="E13" s="34">
        <v>45695</v>
      </c>
      <c r="F13" s="14" t="s">
        <v>18</v>
      </c>
      <c r="G13" s="35">
        <v>4</v>
      </c>
      <c r="H13" s="38">
        <v>10</v>
      </c>
      <c r="I13" s="2"/>
      <c r="J13" s="2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 spans="1:26" ht="14.25" customHeight="1" x14ac:dyDescent="0.2">
      <c r="I14" s="2"/>
      <c r="J14" s="2"/>
    </row>
    <row r="15" spans="1:26" ht="14.25" customHeight="1" x14ac:dyDescent="0.2">
      <c r="J15" s="2"/>
    </row>
    <row r="16" spans="1:26" ht="14.25" customHeight="1" x14ac:dyDescent="0.2">
      <c r="J16" s="2"/>
    </row>
    <row r="17" spans="10:10" ht="14.25" customHeight="1" x14ac:dyDescent="0.2">
      <c r="J17" s="2"/>
    </row>
    <row r="18" spans="10:10" ht="14.25" customHeight="1" x14ac:dyDescent="0.2"/>
    <row r="19" spans="10:10" ht="14.25" customHeight="1" x14ac:dyDescent="0.2"/>
    <row r="20" spans="10:10" ht="14.25" customHeight="1" x14ac:dyDescent="0.2"/>
    <row r="21" spans="10:10" ht="14.25" customHeight="1" x14ac:dyDescent="0.2"/>
    <row r="22" spans="10:10" ht="14.25" customHeight="1" x14ac:dyDescent="0.2"/>
    <row r="23" spans="10:10" ht="14.25" customHeight="1" x14ac:dyDescent="0.2"/>
    <row r="24" spans="10:10" ht="14.25" customHeight="1" x14ac:dyDescent="0.2"/>
    <row r="25" spans="10:10" ht="14.25" customHeight="1" x14ac:dyDescent="0.2"/>
    <row r="26" spans="10:10" ht="14.25" customHeight="1" x14ac:dyDescent="0.2"/>
    <row r="27" spans="10:10" ht="14.25" customHeight="1" x14ac:dyDescent="0.2"/>
    <row r="28" spans="10:10" ht="14.25" customHeight="1" x14ac:dyDescent="0.2"/>
    <row r="29" spans="10:10" ht="14.25" customHeight="1" x14ac:dyDescent="0.2"/>
    <row r="30" spans="10:10" ht="14.25" customHeight="1" x14ac:dyDescent="0.2"/>
    <row r="31" spans="10:10" ht="14.25" customHeight="1" x14ac:dyDescent="0.2"/>
    <row r="32" spans="10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8:B10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62.6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169</v>
      </c>
      <c r="E2" s="2" t="s">
        <v>170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37" t="s">
        <v>87</v>
      </c>
      <c r="C7" s="16" t="s">
        <v>171</v>
      </c>
      <c r="D7" s="88">
        <v>45698</v>
      </c>
      <c r="E7" s="88">
        <v>45698</v>
      </c>
      <c r="F7" s="14" t="s">
        <v>18</v>
      </c>
      <c r="G7" s="35">
        <v>4</v>
      </c>
      <c r="H7" s="24">
        <v>10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14" t="s">
        <v>34</v>
      </c>
      <c r="C8" s="16" t="s">
        <v>164</v>
      </c>
      <c r="D8" s="88">
        <v>45698</v>
      </c>
      <c r="E8" s="88">
        <v>45698</v>
      </c>
      <c r="F8" s="14" t="s">
        <v>18</v>
      </c>
      <c r="G8" s="35">
        <v>13</v>
      </c>
      <c r="H8" s="24">
        <v>32.5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16" t="s">
        <v>172</v>
      </c>
      <c r="D9" s="88">
        <v>45698</v>
      </c>
      <c r="E9" s="88">
        <v>45698</v>
      </c>
      <c r="F9" s="14" t="s">
        <v>15</v>
      </c>
      <c r="G9" s="35">
        <v>13</v>
      </c>
      <c r="H9" s="24">
        <v>32.5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9"/>
      <c r="C10" s="16" t="s">
        <v>173</v>
      </c>
      <c r="D10" s="88">
        <v>45702</v>
      </c>
      <c r="E10" s="88">
        <v>45702</v>
      </c>
      <c r="F10" s="14" t="s">
        <v>18</v>
      </c>
      <c r="G10" s="35">
        <v>8</v>
      </c>
      <c r="H10" s="24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10">
        <v>5</v>
      </c>
      <c r="B11" s="37" t="s">
        <v>165</v>
      </c>
      <c r="C11" s="28" t="s">
        <v>174</v>
      </c>
      <c r="D11" s="88">
        <v>45699</v>
      </c>
      <c r="E11" s="88">
        <v>45699</v>
      </c>
      <c r="F11" s="14" t="s">
        <v>18</v>
      </c>
      <c r="G11" s="35">
        <v>2</v>
      </c>
      <c r="H11" s="38">
        <v>5</v>
      </c>
      <c r="I11" s="2"/>
      <c r="J11" s="2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 spans="1:26" ht="14.25" customHeight="1" x14ac:dyDescent="0.2">
      <c r="I12" s="2"/>
    </row>
    <row r="13" spans="1:26" ht="14.25" customHeight="1" x14ac:dyDescent="0.2"/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8:B10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62.6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175</v>
      </c>
      <c r="E2" s="2" t="s">
        <v>176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3" t="s">
        <v>34</v>
      </c>
      <c r="C7" s="16" t="s">
        <v>177</v>
      </c>
      <c r="D7" s="40">
        <v>45705</v>
      </c>
      <c r="E7" s="40">
        <v>45705</v>
      </c>
      <c r="F7" s="14" t="s">
        <v>18</v>
      </c>
      <c r="G7" s="35">
        <v>2</v>
      </c>
      <c r="H7" s="24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8"/>
      <c r="C8" s="16" t="s">
        <v>178</v>
      </c>
      <c r="D8" s="40">
        <v>45705</v>
      </c>
      <c r="E8" s="40">
        <v>45705</v>
      </c>
      <c r="F8" s="14" t="s">
        <v>18</v>
      </c>
      <c r="G8" s="35">
        <v>2</v>
      </c>
      <c r="H8" s="24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16" t="s">
        <v>179</v>
      </c>
      <c r="D9" s="40">
        <v>45705</v>
      </c>
      <c r="E9" s="40">
        <v>45705</v>
      </c>
      <c r="F9" s="14" t="s">
        <v>18</v>
      </c>
      <c r="G9" s="35">
        <v>4</v>
      </c>
      <c r="H9" s="24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8"/>
      <c r="C10" s="16" t="s">
        <v>180</v>
      </c>
      <c r="D10" s="40">
        <v>45706</v>
      </c>
      <c r="E10" s="40">
        <v>45706</v>
      </c>
      <c r="F10" s="14" t="s">
        <v>15</v>
      </c>
      <c r="G10" s="35">
        <v>24</v>
      </c>
      <c r="H10" s="24">
        <v>60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10">
        <v>5</v>
      </c>
      <c r="B11" s="109"/>
      <c r="C11" s="16" t="s">
        <v>181</v>
      </c>
      <c r="D11" s="40">
        <v>45706</v>
      </c>
      <c r="E11" s="40">
        <v>45706</v>
      </c>
      <c r="F11" s="14" t="s">
        <v>15</v>
      </c>
      <c r="G11" s="35">
        <v>4</v>
      </c>
      <c r="H11" s="24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10">
        <v>6</v>
      </c>
      <c r="B12" s="41" t="s">
        <v>165</v>
      </c>
      <c r="C12" s="16" t="s">
        <v>182</v>
      </c>
      <c r="D12" s="40">
        <v>45708</v>
      </c>
      <c r="E12" s="40">
        <v>45708</v>
      </c>
      <c r="F12" s="14" t="s">
        <v>18</v>
      </c>
      <c r="G12" s="35">
        <v>4</v>
      </c>
      <c r="H12" s="24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1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41.1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183</v>
      </c>
      <c r="E2" s="2" t="s">
        <v>184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5" t="s">
        <v>34</v>
      </c>
      <c r="C7" s="16" t="s">
        <v>180</v>
      </c>
      <c r="D7" s="40">
        <v>45712</v>
      </c>
      <c r="E7" s="40">
        <v>45712</v>
      </c>
      <c r="F7" s="14" t="s">
        <v>18</v>
      </c>
      <c r="G7" s="42">
        <v>18</v>
      </c>
      <c r="H7" s="24">
        <v>45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9"/>
      <c r="C8" s="16" t="s">
        <v>185</v>
      </c>
      <c r="D8" s="40">
        <v>45715</v>
      </c>
      <c r="E8" s="40">
        <v>45715</v>
      </c>
      <c r="F8" s="14" t="s">
        <v>18</v>
      </c>
      <c r="G8" s="24">
        <v>6</v>
      </c>
      <c r="H8" s="24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43" t="s">
        <v>87</v>
      </c>
      <c r="C9" s="16" t="s">
        <v>186</v>
      </c>
      <c r="D9" s="88">
        <v>45713</v>
      </c>
      <c r="E9" s="88">
        <v>45713</v>
      </c>
      <c r="F9" s="14" t="s">
        <v>18</v>
      </c>
      <c r="G9" s="42">
        <v>4</v>
      </c>
      <c r="H9" s="44">
        <v>10</v>
      </c>
      <c r="I9" s="2"/>
    </row>
    <row r="10" spans="1:26" ht="14.25" customHeight="1" x14ac:dyDescent="0.2">
      <c r="A10" s="10">
        <v>4</v>
      </c>
      <c r="B10" s="43" t="s">
        <v>118</v>
      </c>
      <c r="C10" s="16" t="s">
        <v>187</v>
      </c>
      <c r="D10" s="40">
        <v>45714</v>
      </c>
      <c r="E10" s="40">
        <v>45714</v>
      </c>
      <c r="F10" s="14" t="s">
        <v>15</v>
      </c>
      <c r="G10" s="44">
        <v>12</v>
      </c>
      <c r="H10" s="44">
        <v>30</v>
      </c>
      <c r="I10" s="2"/>
    </row>
    <row r="11" spans="1:26" ht="14.25" customHeight="1" x14ac:dyDescent="0.2">
      <c r="I11" s="2"/>
    </row>
    <row r="12" spans="1:26" ht="14.25" customHeight="1" x14ac:dyDescent="0.2">
      <c r="I12" s="2"/>
    </row>
    <row r="13" spans="1:26" ht="14.25" customHeight="1" x14ac:dyDescent="0.2">
      <c r="I13" s="2"/>
    </row>
    <row r="14" spans="1:26" ht="14.25" customHeight="1" x14ac:dyDescent="0.2"/>
    <row r="15" spans="1:26" ht="14.25" customHeight="1" x14ac:dyDescent="0.2"/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8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41.125" customWidth="1"/>
    <col min="4" max="5" width="24.12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188</v>
      </c>
      <c r="E2" s="2" t="s">
        <v>189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0" t="s">
        <v>118</v>
      </c>
      <c r="C7" s="16" t="s">
        <v>190</v>
      </c>
      <c r="D7" s="40">
        <v>45719</v>
      </c>
      <c r="E7" s="40">
        <v>45719</v>
      </c>
      <c r="F7" s="14" t="s">
        <v>191</v>
      </c>
      <c r="G7" s="42">
        <v>8</v>
      </c>
      <c r="H7" s="45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13" t="s">
        <v>34</v>
      </c>
      <c r="C8" s="16" t="s">
        <v>73</v>
      </c>
      <c r="D8" s="40">
        <v>45720</v>
      </c>
      <c r="E8" s="40">
        <v>45720</v>
      </c>
      <c r="F8" s="14" t="s">
        <v>191</v>
      </c>
      <c r="G8" s="24">
        <v>8</v>
      </c>
      <c r="H8" s="45">
        <v>20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16" t="s">
        <v>192</v>
      </c>
      <c r="D9" s="40">
        <v>45721</v>
      </c>
      <c r="E9" s="40">
        <v>45721</v>
      </c>
      <c r="F9" s="14" t="s">
        <v>18</v>
      </c>
      <c r="G9" s="42">
        <v>4</v>
      </c>
      <c r="H9" s="46">
        <v>10</v>
      </c>
      <c r="I9" s="2"/>
    </row>
    <row r="10" spans="1:26" ht="14.25" customHeight="1" x14ac:dyDescent="0.2">
      <c r="A10" s="10">
        <v>4</v>
      </c>
      <c r="B10" s="109"/>
      <c r="C10" s="16" t="s">
        <v>193</v>
      </c>
      <c r="D10" s="40">
        <v>45721</v>
      </c>
      <c r="E10" s="40">
        <v>45721</v>
      </c>
      <c r="F10" s="14" t="s">
        <v>18</v>
      </c>
      <c r="G10" s="44">
        <v>2</v>
      </c>
      <c r="H10" s="46">
        <v>5</v>
      </c>
      <c r="I10" s="2"/>
    </row>
    <row r="11" spans="1:26" ht="14.25" customHeight="1" x14ac:dyDescent="0.2">
      <c r="A11" s="10">
        <v>5</v>
      </c>
      <c r="B11" s="116" t="s">
        <v>194</v>
      </c>
      <c r="C11" s="16" t="s">
        <v>195</v>
      </c>
      <c r="D11" s="47">
        <v>45721</v>
      </c>
      <c r="E11" s="47">
        <v>45721</v>
      </c>
      <c r="F11" s="14" t="s">
        <v>18</v>
      </c>
      <c r="G11" s="44">
        <v>1</v>
      </c>
      <c r="H11" s="46" t="s">
        <v>196</v>
      </c>
      <c r="I11" s="2"/>
    </row>
    <row r="12" spans="1:26" ht="14.25" customHeight="1" x14ac:dyDescent="0.2">
      <c r="A12" s="10">
        <v>6</v>
      </c>
      <c r="B12" s="108"/>
      <c r="C12" s="16" t="s">
        <v>197</v>
      </c>
      <c r="D12" s="47">
        <v>45721</v>
      </c>
      <c r="E12" s="47">
        <v>45721</v>
      </c>
      <c r="F12" s="14" t="s">
        <v>18</v>
      </c>
      <c r="G12" s="44">
        <v>7</v>
      </c>
      <c r="H12" s="46" t="s">
        <v>198</v>
      </c>
      <c r="I12" s="2"/>
    </row>
    <row r="13" spans="1:26" ht="14.25" customHeight="1" x14ac:dyDescent="0.2">
      <c r="A13" s="10">
        <v>7</v>
      </c>
      <c r="B13" s="108"/>
      <c r="C13" s="16" t="s">
        <v>199</v>
      </c>
      <c r="D13" s="47">
        <v>45723</v>
      </c>
      <c r="E13" s="47">
        <v>45723</v>
      </c>
      <c r="F13" s="14" t="s">
        <v>18</v>
      </c>
      <c r="G13" s="44">
        <v>4</v>
      </c>
      <c r="H13" s="46">
        <v>10</v>
      </c>
      <c r="I13" s="2"/>
    </row>
    <row r="14" spans="1:26" ht="14.25" customHeight="1" x14ac:dyDescent="0.2">
      <c r="A14" s="10">
        <v>8</v>
      </c>
      <c r="B14" s="109"/>
      <c r="C14" s="16" t="s">
        <v>200</v>
      </c>
      <c r="D14" s="47">
        <v>45722</v>
      </c>
      <c r="E14" s="47">
        <v>45722</v>
      </c>
      <c r="F14" s="14" t="s">
        <v>18</v>
      </c>
      <c r="G14" s="44">
        <v>4</v>
      </c>
      <c r="H14" s="46">
        <v>10</v>
      </c>
    </row>
    <row r="15" spans="1:26" ht="14.25" customHeight="1" x14ac:dyDescent="0.2">
      <c r="A15" s="10">
        <v>9</v>
      </c>
      <c r="B15" s="48" t="s">
        <v>86</v>
      </c>
      <c r="C15" s="16" t="s">
        <v>201</v>
      </c>
      <c r="D15" s="47">
        <v>45723</v>
      </c>
      <c r="E15" s="47">
        <v>45723</v>
      </c>
      <c r="F15" s="14" t="s">
        <v>18</v>
      </c>
      <c r="G15" s="44">
        <v>2</v>
      </c>
      <c r="H15" s="46">
        <v>5</v>
      </c>
    </row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8:B10"/>
    <mergeCell ref="B11:B14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202</v>
      </c>
      <c r="E2" s="2" t="s">
        <v>203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3" t="s">
        <v>34</v>
      </c>
      <c r="C7" s="28" t="s">
        <v>204</v>
      </c>
      <c r="D7" s="40">
        <v>45726</v>
      </c>
      <c r="E7" s="40">
        <v>45726</v>
      </c>
      <c r="F7" s="14" t="s">
        <v>18</v>
      </c>
      <c r="G7" s="89">
        <v>1</v>
      </c>
      <c r="H7" s="45">
        <v>2.5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8"/>
      <c r="C8" s="28" t="s">
        <v>205</v>
      </c>
      <c r="D8" s="40">
        <v>45726</v>
      </c>
      <c r="E8" s="40">
        <v>45726</v>
      </c>
      <c r="F8" s="14" t="s">
        <v>18</v>
      </c>
      <c r="G8" s="89">
        <v>6</v>
      </c>
      <c r="H8" s="45">
        <v>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28" t="s">
        <v>206</v>
      </c>
      <c r="D9" s="40">
        <v>45726</v>
      </c>
      <c r="E9" s="40">
        <v>45726</v>
      </c>
      <c r="F9" s="14" t="s">
        <v>18</v>
      </c>
      <c r="G9" s="89">
        <v>1</v>
      </c>
      <c r="H9" s="45">
        <v>2.5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8"/>
      <c r="C10" s="28" t="s">
        <v>207</v>
      </c>
      <c r="D10" s="40">
        <v>45729</v>
      </c>
      <c r="E10" s="40">
        <v>45729</v>
      </c>
      <c r="F10" s="14" t="s">
        <v>18</v>
      </c>
      <c r="G10" s="89">
        <v>8</v>
      </c>
      <c r="H10" s="45">
        <v>20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10">
        <v>5</v>
      </c>
      <c r="B11" s="109"/>
      <c r="C11" s="28" t="s">
        <v>208</v>
      </c>
      <c r="D11" s="40">
        <v>45730</v>
      </c>
      <c r="E11" s="40">
        <v>45730</v>
      </c>
      <c r="F11" s="14" t="s">
        <v>191</v>
      </c>
      <c r="G11" s="89">
        <v>8</v>
      </c>
      <c r="H11" s="46">
        <v>20</v>
      </c>
      <c r="I11" s="2"/>
    </row>
    <row r="12" spans="1:26" ht="14.25" customHeight="1" x14ac:dyDescent="0.2">
      <c r="A12" s="10">
        <v>6</v>
      </c>
      <c r="B12" s="116" t="s">
        <v>165</v>
      </c>
      <c r="C12" s="28" t="s">
        <v>209</v>
      </c>
      <c r="D12" s="40">
        <v>45726</v>
      </c>
      <c r="E12" s="40">
        <v>45726</v>
      </c>
      <c r="F12" s="14" t="s">
        <v>18</v>
      </c>
      <c r="G12" s="89">
        <v>4</v>
      </c>
      <c r="H12" s="46">
        <v>10</v>
      </c>
      <c r="I12" s="2"/>
    </row>
    <row r="13" spans="1:26" ht="14.25" customHeight="1" x14ac:dyDescent="0.2">
      <c r="A13" s="10">
        <v>7</v>
      </c>
      <c r="B13" s="108"/>
      <c r="C13" s="28" t="s">
        <v>210</v>
      </c>
      <c r="D13" s="40">
        <v>45727</v>
      </c>
      <c r="E13" s="40">
        <v>45727</v>
      </c>
      <c r="F13" s="14" t="s">
        <v>18</v>
      </c>
      <c r="G13" s="89">
        <v>4</v>
      </c>
      <c r="H13" s="46">
        <v>10</v>
      </c>
      <c r="I13" s="2"/>
    </row>
    <row r="14" spans="1:26" ht="14.25" customHeight="1" x14ac:dyDescent="0.2">
      <c r="A14" s="10">
        <v>8</v>
      </c>
      <c r="B14" s="109"/>
      <c r="C14" s="28" t="s">
        <v>211</v>
      </c>
      <c r="D14" s="40">
        <v>45728</v>
      </c>
      <c r="E14" s="40">
        <v>45728</v>
      </c>
      <c r="F14" s="14" t="s">
        <v>18</v>
      </c>
      <c r="G14" s="89">
        <v>8</v>
      </c>
      <c r="H14" s="46">
        <v>20</v>
      </c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>
      <c r="I18" s="2"/>
    </row>
    <row r="19" spans="9:9" ht="14.25" customHeight="1" x14ac:dyDescent="0.2">
      <c r="I19" s="2"/>
    </row>
    <row r="20" spans="9:9" ht="14.25" customHeight="1" x14ac:dyDescent="0.2">
      <c r="I20" s="2"/>
    </row>
    <row r="21" spans="9:9" ht="14.25" customHeight="1" x14ac:dyDescent="0.2">
      <c r="I21" s="2"/>
    </row>
    <row r="22" spans="9:9" ht="14.25" customHeight="1" x14ac:dyDescent="0.2">
      <c r="I22" s="2"/>
    </row>
    <row r="23" spans="9:9" ht="14.25" customHeight="1" x14ac:dyDescent="0.2">
      <c r="I23" s="2"/>
    </row>
    <row r="24" spans="9:9" ht="14.25" customHeight="1" x14ac:dyDescent="0.2">
      <c r="I24" s="2"/>
    </row>
    <row r="25" spans="9:9" ht="14.25" customHeight="1" x14ac:dyDescent="0.2">
      <c r="I25" s="2"/>
    </row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1"/>
    <mergeCell ref="B12:B14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212</v>
      </c>
      <c r="E2" s="2" t="s">
        <v>213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13" t="s">
        <v>34</v>
      </c>
      <c r="C7" s="28" t="s">
        <v>207</v>
      </c>
      <c r="D7" s="88">
        <v>45733</v>
      </c>
      <c r="E7" s="88">
        <v>45733</v>
      </c>
      <c r="F7" s="14" t="s">
        <v>18</v>
      </c>
      <c r="G7" s="89">
        <v>8</v>
      </c>
      <c r="H7" s="45">
        <v>20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08"/>
      <c r="C8" s="28" t="s">
        <v>214</v>
      </c>
      <c r="D8" s="88">
        <v>45734</v>
      </c>
      <c r="E8" s="88">
        <v>45734</v>
      </c>
      <c r="F8" s="14" t="s">
        <v>18</v>
      </c>
      <c r="G8" s="89">
        <v>4</v>
      </c>
      <c r="H8" s="45">
        <v>10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28" t="s">
        <v>215</v>
      </c>
      <c r="D9" s="88">
        <v>45736</v>
      </c>
      <c r="E9" s="88">
        <v>45736</v>
      </c>
      <c r="F9" s="14" t="s">
        <v>15</v>
      </c>
      <c r="G9" s="89">
        <v>4</v>
      </c>
      <c r="H9" s="45">
        <v>10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9"/>
      <c r="C10" s="28" t="s">
        <v>216</v>
      </c>
      <c r="D10" s="40">
        <v>45737</v>
      </c>
      <c r="E10" s="40">
        <v>45737</v>
      </c>
      <c r="F10" s="14" t="s">
        <v>18</v>
      </c>
      <c r="G10" s="89">
        <v>5</v>
      </c>
      <c r="H10" s="45">
        <v>12.5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">
      <c r="A11" s="10">
        <v>5</v>
      </c>
      <c r="B11" s="116" t="s">
        <v>165</v>
      </c>
      <c r="C11" s="28" t="s">
        <v>217</v>
      </c>
      <c r="D11" s="88">
        <v>45734</v>
      </c>
      <c r="E11" s="88">
        <v>45734</v>
      </c>
      <c r="F11" s="14" t="s">
        <v>18</v>
      </c>
      <c r="G11" s="89">
        <v>4</v>
      </c>
      <c r="H11" s="45">
        <v>10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">
      <c r="A12" s="10">
        <v>6</v>
      </c>
      <c r="B12" s="108"/>
      <c r="C12" s="28" t="s">
        <v>218</v>
      </c>
      <c r="D12" s="88">
        <v>45735</v>
      </c>
      <c r="E12" s="88">
        <v>45735</v>
      </c>
      <c r="F12" s="14" t="s">
        <v>18</v>
      </c>
      <c r="G12" s="89">
        <v>8</v>
      </c>
      <c r="H12" s="45">
        <v>20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">
      <c r="A13" s="10">
        <v>7</v>
      </c>
      <c r="B13" s="108"/>
      <c r="C13" s="90" t="s">
        <v>219</v>
      </c>
      <c r="D13" s="88">
        <v>45736</v>
      </c>
      <c r="E13" s="88">
        <v>45736</v>
      </c>
      <c r="F13" s="14" t="s">
        <v>18</v>
      </c>
      <c r="G13" s="89">
        <v>4</v>
      </c>
      <c r="H13" s="46">
        <v>10</v>
      </c>
      <c r="I13" s="2"/>
    </row>
    <row r="14" spans="1:26" ht="14.25" customHeight="1" x14ac:dyDescent="0.2">
      <c r="A14" s="10">
        <v>8</v>
      </c>
      <c r="B14" s="108"/>
      <c r="C14" s="28" t="s">
        <v>220</v>
      </c>
      <c r="D14" s="40">
        <v>45737</v>
      </c>
      <c r="E14" s="40">
        <v>45737</v>
      </c>
      <c r="F14" s="14" t="s">
        <v>18</v>
      </c>
      <c r="G14" s="27">
        <v>0.5</v>
      </c>
      <c r="H14" s="46">
        <v>1.25</v>
      </c>
      <c r="I14" s="2"/>
    </row>
    <row r="15" spans="1:26" ht="14.25" customHeight="1" x14ac:dyDescent="0.2">
      <c r="A15" s="10">
        <v>9</v>
      </c>
      <c r="B15" s="109"/>
      <c r="C15" s="28" t="s">
        <v>221</v>
      </c>
      <c r="D15" s="40">
        <v>45737</v>
      </c>
      <c r="E15" s="40">
        <v>45737</v>
      </c>
      <c r="F15" s="14" t="s">
        <v>18</v>
      </c>
      <c r="G15" s="27">
        <v>2.5</v>
      </c>
      <c r="H15" s="46">
        <v>6.25</v>
      </c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>
      <c r="I18" s="2"/>
    </row>
    <row r="19" spans="9:9" ht="14.25" customHeight="1" x14ac:dyDescent="0.2">
      <c r="I19" s="2"/>
    </row>
    <row r="20" spans="9:9" ht="14.25" customHeight="1" x14ac:dyDescent="0.2">
      <c r="I20" s="2"/>
    </row>
    <row r="21" spans="9:9" ht="14.25" customHeight="1" x14ac:dyDescent="0.2">
      <c r="I21" s="2"/>
    </row>
    <row r="22" spans="9:9" ht="14.25" customHeight="1" x14ac:dyDescent="0.2">
      <c r="I22" s="2"/>
    </row>
    <row r="23" spans="9:9" ht="14.25" customHeight="1" x14ac:dyDescent="0.2">
      <c r="I23" s="2"/>
    </row>
    <row r="24" spans="9:9" ht="14.25" customHeight="1" x14ac:dyDescent="0.2">
      <c r="I24" s="2"/>
    </row>
    <row r="25" spans="9:9" ht="14.25" customHeight="1" x14ac:dyDescent="0.2">
      <c r="I25" s="2"/>
    </row>
    <row r="26" spans="9:9" ht="14.25" customHeight="1" x14ac:dyDescent="0.2">
      <c r="I26" s="2"/>
    </row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0"/>
    <mergeCell ref="B11:B15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222</v>
      </c>
      <c r="E2" s="2" t="s">
        <v>223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0" t="s">
        <v>34</v>
      </c>
      <c r="C7" s="28" t="s">
        <v>224</v>
      </c>
      <c r="D7" s="40">
        <v>45740</v>
      </c>
      <c r="E7" s="40">
        <v>45740</v>
      </c>
      <c r="F7" s="14" t="s">
        <v>15</v>
      </c>
      <c r="G7" s="27">
        <v>3</v>
      </c>
      <c r="H7" s="45">
        <v>7.5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16" t="s">
        <v>165</v>
      </c>
      <c r="C8" s="28" t="s">
        <v>225</v>
      </c>
      <c r="D8" s="40">
        <v>45740</v>
      </c>
      <c r="E8" s="40">
        <v>45740</v>
      </c>
      <c r="F8" s="14" t="s">
        <v>18</v>
      </c>
      <c r="G8" s="27">
        <v>0.5</v>
      </c>
      <c r="H8" s="45">
        <v>1.25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28" t="s">
        <v>226</v>
      </c>
      <c r="D9" s="40">
        <v>45740</v>
      </c>
      <c r="E9" s="40">
        <v>45740</v>
      </c>
      <c r="F9" s="14" t="s">
        <v>18</v>
      </c>
      <c r="G9" s="27">
        <v>26.5</v>
      </c>
      <c r="H9" s="45">
        <v>66.25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8"/>
      <c r="C10" s="28" t="s">
        <v>227</v>
      </c>
      <c r="D10" s="40">
        <v>45743</v>
      </c>
      <c r="E10" s="40">
        <v>45743</v>
      </c>
      <c r="F10" s="14" t="s">
        <v>18</v>
      </c>
      <c r="G10" s="27">
        <v>0.5</v>
      </c>
      <c r="H10" s="46">
        <v>1.25</v>
      </c>
      <c r="I10" s="2"/>
    </row>
    <row r="11" spans="1:26" ht="14.25" customHeight="1" x14ac:dyDescent="0.2">
      <c r="A11" s="10">
        <v>5</v>
      </c>
      <c r="B11" s="108"/>
      <c r="C11" s="28" t="s">
        <v>228</v>
      </c>
      <c r="D11" s="40">
        <v>45744</v>
      </c>
      <c r="E11" s="40">
        <v>45744</v>
      </c>
      <c r="F11" s="14" t="s">
        <v>15</v>
      </c>
      <c r="G11" s="27">
        <v>2</v>
      </c>
      <c r="H11" s="46">
        <v>5</v>
      </c>
      <c r="I11" s="2"/>
    </row>
    <row r="12" spans="1:26" ht="14.25" customHeight="1" x14ac:dyDescent="0.2">
      <c r="A12" s="10">
        <v>6</v>
      </c>
      <c r="B12" s="109"/>
      <c r="C12" s="28" t="s">
        <v>229</v>
      </c>
      <c r="D12" s="40">
        <v>45744</v>
      </c>
      <c r="E12" s="40">
        <v>45744</v>
      </c>
      <c r="F12" s="14" t="s">
        <v>18</v>
      </c>
      <c r="G12" s="27">
        <v>2</v>
      </c>
      <c r="H12" s="46">
        <v>5</v>
      </c>
      <c r="I12" s="2"/>
    </row>
    <row r="13" spans="1:26" ht="14.25" customHeight="1" x14ac:dyDescent="0.2">
      <c r="A13" s="10">
        <v>7</v>
      </c>
      <c r="B13" s="10" t="s">
        <v>118</v>
      </c>
      <c r="C13" s="28" t="s">
        <v>230</v>
      </c>
      <c r="D13" s="40">
        <v>45743</v>
      </c>
      <c r="E13" s="40">
        <v>45743</v>
      </c>
      <c r="F13" s="14" t="s">
        <v>18</v>
      </c>
      <c r="G13" s="27">
        <v>1.5</v>
      </c>
      <c r="H13" s="44">
        <v>3.75</v>
      </c>
      <c r="I13" s="2"/>
    </row>
    <row r="14" spans="1:26" ht="14.25" customHeight="1" x14ac:dyDescent="0.2">
      <c r="A14" s="10">
        <v>8</v>
      </c>
      <c r="B14" s="10" t="s">
        <v>87</v>
      </c>
      <c r="C14" s="28" t="s">
        <v>87</v>
      </c>
      <c r="D14" s="40">
        <v>45744</v>
      </c>
      <c r="E14" s="40">
        <v>45744</v>
      </c>
      <c r="F14" s="14" t="s">
        <v>18</v>
      </c>
      <c r="G14" s="27">
        <v>4</v>
      </c>
      <c r="H14" s="44">
        <v>10</v>
      </c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/>
    <row r="19" spans="9:9" ht="14.25" customHeight="1" x14ac:dyDescent="0.2"/>
    <row r="20" spans="9:9" ht="14.25" customHeight="1" x14ac:dyDescent="0.2"/>
    <row r="21" spans="9:9" ht="14.25" customHeight="1" x14ac:dyDescent="0.2"/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8:B1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231</v>
      </c>
      <c r="E2" s="2" t="s">
        <v>232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10">
        <v>1</v>
      </c>
      <c r="B7" s="10" t="s">
        <v>34</v>
      </c>
      <c r="C7" s="28" t="s">
        <v>224</v>
      </c>
      <c r="D7" s="91">
        <v>45747</v>
      </c>
      <c r="E7" s="91">
        <v>45747</v>
      </c>
      <c r="F7" s="14" t="s">
        <v>15</v>
      </c>
      <c r="G7" s="27">
        <v>12</v>
      </c>
      <c r="H7" s="45">
        <v>30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">
      <c r="A8" s="10">
        <v>2</v>
      </c>
      <c r="B8" s="116" t="s">
        <v>165</v>
      </c>
      <c r="C8" s="28" t="s">
        <v>233</v>
      </c>
      <c r="D8" s="91">
        <v>45747</v>
      </c>
      <c r="E8" s="91">
        <v>45747</v>
      </c>
      <c r="F8" s="14" t="s">
        <v>18</v>
      </c>
      <c r="G8" s="27">
        <v>6</v>
      </c>
      <c r="H8" s="45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">
      <c r="A9" s="10">
        <v>3</v>
      </c>
      <c r="B9" s="108"/>
      <c r="C9" s="28" t="s">
        <v>234</v>
      </c>
      <c r="D9" s="91">
        <v>45747</v>
      </c>
      <c r="E9" s="91">
        <v>45747</v>
      </c>
      <c r="F9" s="14" t="s">
        <v>18</v>
      </c>
      <c r="G9" s="27">
        <v>2</v>
      </c>
      <c r="H9" s="45">
        <v>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">
      <c r="A10" s="10">
        <v>4</v>
      </c>
      <c r="B10" s="109"/>
      <c r="C10" s="92" t="s">
        <v>235</v>
      </c>
      <c r="D10" s="40">
        <v>45748</v>
      </c>
      <c r="E10" s="40">
        <v>45748</v>
      </c>
      <c r="F10" s="14" t="s">
        <v>15</v>
      </c>
      <c r="G10" s="27">
        <v>16</v>
      </c>
      <c r="H10" s="46">
        <v>40</v>
      </c>
      <c r="I10" s="2"/>
    </row>
    <row r="11" spans="1:26" ht="14.25" customHeight="1" x14ac:dyDescent="0.2">
      <c r="A11" s="10">
        <v>5</v>
      </c>
      <c r="B11" s="113" t="s">
        <v>153</v>
      </c>
      <c r="C11" s="92" t="s">
        <v>236</v>
      </c>
      <c r="D11" s="40">
        <v>45751</v>
      </c>
      <c r="E11" s="40">
        <v>45751</v>
      </c>
      <c r="F11" s="14" t="s">
        <v>18</v>
      </c>
      <c r="G11" s="27">
        <v>2</v>
      </c>
      <c r="H11" s="44">
        <v>5</v>
      </c>
      <c r="I11" s="2"/>
    </row>
    <row r="12" spans="1:26" ht="14.25" customHeight="1" x14ac:dyDescent="0.2">
      <c r="A12" s="10">
        <v>6</v>
      </c>
      <c r="B12" s="109"/>
      <c r="C12" s="92" t="s">
        <v>237</v>
      </c>
      <c r="D12" s="40">
        <v>45751</v>
      </c>
      <c r="E12" s="40">
        <v>45751</v>
      </c>
      <c r="F12" s="14" t="s">
        <v>18</v>
      </c>
      <c r="G12" s="27">
        <v>2</v>
      </c>
      <c r="H12" s="44">
        <v>5</v>
      </c>
      <c r="I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8:B10"/>
    <mergeCell ref="B11:B12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238</v>
      </c>
      <c r="E2" s="2" t="s">
        <v>239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1</v>
      </c>
      <c r="B7" s="50" t="s">
        <v>240</v>
      </c>
      <c r="C7" s="28" t="s">
        <v>241</v>
      </c>
      <c r="D7" s="40">
        <v>45754</v>
      </c>
      <c r="E7" s="40">
        <v>45754</v>
      </c>
      <c r="F7" s="44" t="s">
        <v>18</v>
      </c>
      <c r="G7" s="27">
        <v>8</v>
      </c>
      <c r="H7" s="44">
        <v>20</v>
      </c>
      <c r="I7" s="2"/>
    </row>
    <row r="8" spans="1:26" ht="14.25" customHeight="1" x14ac:dyDescent="0.2">
      <c r="A8" s="49">
        <v>2</v>
      </c>
      <c r="B8" s="117" t="s">
        <v>34</v>
      </c>
      <c r="C8" s="28" t="s">
        <v>242</v>
      </c>
      <c r="D8" s="40">
        <v>45755</v>
      </c>
      <c r="E8" s="40">
        <v>45755</v>
      </c>
      <c r="F8" s="44" t="s">
        <v>15</v>
      </c>
      <c r="G8" s="27">
        <v>5</v>
      </c>
      <c r="H8" s="44">
        <v>12.5</v>
      </c>
      <c r="I8" s="2"/>
    </row>
    <row r="9" spans="1:26" ht="14.25" customHeight="1" x14ac:dyDescent="0.2">
      <c r="A9" s="49">
        <v>3</v>
      </c>
      <c r="B9" s="109"/>
      <c r="C9" s="28" t="s">
        <v>243</v>
      </c>
      <c r="D9" s="40">
        <v>45756</v>
      </c>
      <c r="E9" s="40">
        <v>45756</v>
      </c>
      <c r="F9" s="44" t="s">
        <v>18</v>
      </c>
      <c r="G9" s="27">
        <v>12</v>
      </c>
      <c r="H9" s="44">
        <v>30</v>
      </c>
      <c r="I9" s="2"/>
    </row>
    <row r="10" spans="1:26" ht="14.25" customHeight="1" x14ac:dyDescent="0.2">
      <c r="A10" s="49">
        <v>5</v>
      </c>
      <c r="B10" s="117" t="s">
        <v>165</v>
      </c>
      <c r="C10" s="28" t="s">
        <v>235</v>
      </c>
      <c r="D10" s="40">
        <v>45755</v>
      </c>
      <c r="E10" s="40">
        <v>45755</v>
      </c>
      <c r="F10" s="44" t="s">
        <v>18</v>
      </c>
      <c r="G10" s="27">
        <v>8</v>
      </c>
      <c r="H10" s="44">
        <v>20</v>
      </c>
      <c r="I10" s="2"/>
    </row>
    <row r="11" spans="1:26" ht="14.25" customHeight="1" x14ac:dyDescent="0.2">
      <c r="A11" s="49">
        <v>6</v>
      </c>
      <c r="B11" s="108"/>
      <c r="C11" s="28" t="s">
        <v>244</v>
      </c>
      <c r="D11" s="40">
        <v>45758</v>
      </c>
      <c r="E11" s="40">
        <v>45758</v>
      </c>
      <c r="F11" s="44" t="s">
        <v>18</v>
      </c>
      <c r="G11" s="27">
        <v>1</v>
      </c>
      <c r="H11" s="44">
        <v>2.5</v>
      </c>
      <c r="I11" s="2"/>
    </row>
    <row r="12" spans="1:26" ht="14.25" customHeight="1" x14ac:dyDescent="0.2">
      <c r="A12" s="49">
        <v>7</v>
      </c>
      <c r="B12" s="109"/>
      <c r="C12" s="28" t="s">
        <v>245</v>
      </c>
      <c r="D12" s="40">
        <v>45758</v>
      </c>
      <c r="E12" s="40">
        <v>45758</v>
      </c>
      <c r="F12" s="44" t="s">
        <v>18</v>
      </c>
      <c r="G12" s="27">
        <v>6</v>
      </c>
      <c r="H12" s="44">
        <v>15</v>
      </c>
      <c r="I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/>
    <row r="19" spans="9:9" ht="14.25" customHeight="1" x14ac:dyDescent="0.2"/>
    <row r="20" spans="9:9" ht="14.25" customHeight="1" x14ac:dyDescent="0.2"/>
    <row r="21" spans="9:9" ht="14.25" customHeight="1" x14ac:dyDescent="0.2"/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8:B9"/>
    <mergeCell ref="B10:B1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246</v>
      </c>
      <c r="E2" s="2" t="s">
        <v>247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1</v>
      </c>
      <c r="B7" s="51" t="s">
        <v>87</v>
      </c>
      <c r="C7" s="28" t="s">
        <v>248</v>
      </c>
      <c r="D7" s="40">
        <v>45764</v>
      </c>
      <c r="E7" s="40">
        <v>45764</v>
      </c>
      <c r="F7" s="28" t="s">
        <v>18</v>
      </c>
      <c r="G7" s="27">
        <v>4</v>
      </c>
      <c r="H7" s="27">
        <v>10</v>
      </c>
      <c r="I7" s="2"/>
    </row>
    <row r="8" spans="1:26" ht="14.25" customHeight="1" x14ac:dyDescent="0.2">
      <c r="A8" s="49">
        <v>2</v>
      </c>
      <c r="B8" s="118" t="s">
        <v>34</v>
      </c>
      <c r="C8" s="28" t="s">
        <v>249</v>
      </c>
      <c r="D8" s="40">
        <v>45761</v>
      </c>
      <c r="E8" s="40">
        <v>45761</v>
      </c>
      <c r="F8" s="28" t="s">
        <v>15</v>
      </c>
      <c r="G8" s="27">
        <v>7</v>
      </c>
      <c r="H8" s="27">
        <v>17.5</v>
      </c>
      <c r="I8" s="2"/>
    </row>
    <row r="9" spans="1:26" ht="14.25" customHeight="1" x14ac:dyDescent="0.2">
      <c r="A9" s="49">
        <v>3</v>
      </c>
      <c r="B9" s="109"/>
      <c r="C9" s="28" t="s">
        <v>250</v>
      </c>
      <c r="D9" s="40">
        <v>45765</v>
      </c>
      <c r="E9" s="40">
        <v>45765</v>
      </c>
      <c r="F9" s="28" t="s">
        <v>18</v>
      </c>
      <c r="G9" s="27">
        <v>4</v>
      </c>
      <c r="H9" s="27">
        <v>10</v>
      </c>
      <c r="I9" s="2"/>
    </row>
    <row r="10" spans="1:26" ht="14.25" customHeight="1" x14ac:dyDescent="0.2">
      <c r="A10" s="49">
        <v>4</v>
      </c>
      <c r="B10" s="118" t="s">
        <v>165</v>
      </c>
      <c r="C10" s="28" t="s">
        <v>251</v>
      </c>
      <c r="D10" s="40">
        <v>45761</v>
      </c>
      <c r="E10" s="40">
        <v>45761</v>
      </c>
      <c r="F10" s="28" t="s">
        <v>18</v>
      </c>
      <c r="G10" s="27">
        <v>16</v>
      </c>
      <c r="H10" s="27">
        <v>40</v>
      </c>
      <c r="I10" s="2"/>
    </row>
    <row r="11" spans="1:26" ht="14.25" customHeight="1" x14ac:dyDescent="0.2">
      <c r="A11" s="49">
        <v>5</v>
      </c>
      <c r="B11" s="108"/>
      <c r="C11" s="28" t="s">
        <v>252</v>
      </c>
      <c r="D11" s="40">
        <v>45763</v>
      </c>
      <c r="E11" s="40">
        <v>45763</v>
      </c>
      <c r="F11" s="28" t="s">
        <v>18</v>
      </c>
      <c r="G11" s="27">
        <v>2</v>
      </c>
      <c r="H11" s="27">
        <v>5</v>
      </c>
      <c r="I11" s="2"/>
    </row>
    <row r="12" spans="1:26" ht="14.25" customHeight="1" x14ac:dyDescent="0.2">
      <c r="A12" s="49">
        <v>6</v>
      </c>
      <c r="B12" s="108"/>
      <c r="C12" s="28" t="s">
        <v>253</v>
      </c>
      <c r="D12" s="40">
        <v>45763</v>
      </c>
      <c r="E12" s="40">
        <v>45763</v>
      </c>
      <c r="F12" s="28" t="s">
        <v>18</v>
      </c>
      <c r="G12" s="27">
        <v>3</v>
      </c>
      <c r="H12" s="27">
        <v>7.5</v>
      </c>
      <c r="I12" s="2"/>
    </row>
    <row r="13" spans="1:26" ht="14.25" customHeight="1" x14ac:dyDescent="0.2">
      <c r="A13" s="49">
        <v>7</v>
      </c>
      <c r="B13" s="109"/>
      <c r="C13" s="28" t="s">
        <v>254</v>
      </c>
      <c r="D13" s="40">
        <v>45765</v>
      </c>
      <c r="E13" s="40">
        <v>45765</v>
      </c>
      <c r="F13" s="28" t="s">
        <v>15</v>
      </c>
      <c r="G13" s="27">
        <v>4</v>
      </c>
      <c r="H13" s="27">
        <v>10</v>
      </c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/>
    <row r="19" spans="9:9" ht="14.25" customHeight="1" x14ac:dyDescent="0.2"/>
    <row r="20" spans="9:9" ht="14.25" customHeight="1" x14ac:dyDescent="0.2"/>
    <row r="21" spans="9:9" ht="14.25" customHeight="1" x14ac:dyDescent="0.2"/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8:B9"/>
    <mergeCell ref="B10:B13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255</v>
      </c>
      <c r="E2" s="2" t="s">
        <v>256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2</v>
      </c>
      <c r="B7" s="118" t="s">
        <v>34</v>
      </c>
      <c r="C7" s="28" t="s">
        <v>242</v>
      </c>
      <c r="D7" s="40">
        <v>45768</v>
      </c>
      <c r="E7" s="40">
        <v>45768</v>
      </c>
      <c r="F7" s="28" t="s">
        <v>18</v>
      </c>
      <c r="G7" s="27">
        <v>8</v>
      </c>
      <c r="H7" s="27">
        <v>16.666666666666664</v>
      </c>
      <c r="I7" s="2"/>
    </row>
    <row r="8" spans="1:26" ht="14.25" customHeight="1" x14ac:dyDescent="0.2">
      <c r="A8" s="49"/>
      <c r="B8" s="108"/>
      <c r="C8" s="28" t="s">
        <v>257</v>
      </c>
      <c r="D8" s="40">
        <v>45769</v>
      </c>
      <c r="E8" s="40">
        <v>45769</v>
      </c>
      <c r="F8" s="28" t="s">
        <v>18</v>
      </c>
      <c r="G8" s="27">
        <v>4</v>
      </c>
      <c r="H8" s="27">
        <v>8.3333333333333321</v>
      </c>
      <c r="I8" s="2"/>
    </row>
    <row r="9" spans="1:26" ht="14.25" customHeight="1" x14ac:dyDescent="0.2">
      <c r="A9" s="49"/>
      <c r="B9" s="108"/>
      <c r="C9" s="28" t="s">
        <v>258</v>
      </c>
      <c r="D9" s="40">
        <v>45770</v>
      </c>
      <c r="E9" s="40">
        <v>45770</v>
      </c>
      <c r="F9" s="28" t="s">
        <v>18</v>
      </c>
      <c r="G9" s="27">
        <v>2</v>
      </c>
      <c r="H9" s="27">
        <v>4.1666666666666661</v>
      </c>
      <c r="I9" s="2"/>
    </row>
    <row r="10" spans="1:26" ht="14.25" customHeight="1" x14ac:dyDescent="0.2">
      <c r="A10" s="49">
        <v>3</v>
      </c>
      <c r="B10" s="108"/>
      <c r="C10" s="28" t="s">
        <v>259</v>
      </c>
      <c r="D10" s="40">
        <v>45771</v>
      </c>
      <c r="E10" s="40">
        <v>45771</v>
      </c>
      <c r="F10" s="28" t="s">
        <v>18</v>
      </c>
      <c r="G10" s="27">
        <v>4</v>
      </c>
      <c r="H10" s="27">
        <v>8.3333333333333321</v>
      </c>
      <c r="I10" s="2"/>
    </row>
    <row r="11" spans="1:26" ht="14.25" customHeight="1" x14ac:dyDescent="0.2">
      <c r="A11" s="49">
        <v>2</v>
      </c>
      <c r="B11" s="108"/>
      <c r="C11" s="28" t="s">
        <v>260</v>
      </c>
      <c r="D11" s="40">
        <v>45772</v>
      </c>
      <c r="E11" s="40">
        <v>45772</v>
      </c>
      <c r="F11" s="28" t="s">
        <v>18</v>
      </c>
      <c r="G11" s="27">
        <v>2</v>
      </c>
      <c r="H11" s="27">
        <v>4.1666666666666661</v>
      </c>
      <c r="I11" s="2"/>
    </row>
    <row r="12" spans="1:26" ht="14.25" customHeight="1" x14ac:dyDescent="0.2">
      <c r="A12" s="49">
        <v>3</v>
      </c>
      <c r="B12" s="109"/>
      <c r="C12" s="28" t="s">
        <v>261</v>
      </c>
      <c r="D12" s="40">
        <v>45772</v>
      </c>
      <c r="E12" s="40">
        <v>45772</v>
      </c>
      <c r="F12" s="28" t="s">
        <v>15</v>
      </c>
      <c r="G12" s="27">
        <v>10</v>
      </c>
      <c r="H12" s="27">
        <v>20.833333333333336</v>
      </c>
      <c r="I12" s="2"/>
    </row>
    <row r="13" spans="1:26" ht="14.25" customHeight="1" x14ac:dyDescent="0.2">
      <c r="A13" s="49">
        <v>4</v>
      </c>
      <c r="B13" s="118" t="s">
        <v>165</v>
      </c>
      <c r="C13" s="28" t="s">
        <v>254</v>
      </c>
      <c r="D13" s="40">
        <v>45768</v>
      </c>
      <c r="E13" s="40">
        <v>45768</v>
      </c>
      <c r="F13" s="28" t="s">
        <v>18</v>
      </c>
      <c r="G13" s="27">
        <v>16</v>
      </c>
      <c r="H13" s="27">
        <v>33.333333333333329</v>
      </c>
      <c r="I13" s="2"/>
    </row>
    <row r="14" spans="1:26" ht="14.25" customHeight="1" x14ac:dyDescent="0.2">
      <c r="A14" s="49">
        <v>5</v>
      </c>
      <c r="B14" s="109"/>
      <c r="C14" s="28" t="s">
        <v>262</v>
      </c>
      <c r="D14" s="40">
        <v>45770</v>
      </c>
      <c r="E14" s="40">
        <v>45770</v>
      </c>
      <c r="F14" s="28" t="s">
        <v>15</v>
      </c>
      <c r="G14" s="27">
        <v>2</v>
      </c>
      <c r="H14" s="27">
        <v>4.1666666666666661</v>
      </c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>
      <c r="I18" s="2"/>
    </row>
    <row r="19" spans="9:9" ht="14.25" customHeight="1" x14ac:dyDescent="0.2"/>
    <row r="20" spans="9:9" ht="14.25" customHeight="1" x14ac:dyDescent="0.2"/>
    <row r="21" spans="9:9" ht="14.25" customHeight="1" x14ac:dyDescent="0.2"/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2"/>
    <mergeCell ref="B13:B14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263</v>
      </c>
      <c r="E2" s="2" t="s">
        <v>264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1</v>
      </c>
      <c r="B7" s="52" t="s">
        <v>265</v>
      </c>
      <c r="C7" s="92" t="s">
        <v>261</v>
      </c>
      <c r="D7" s="40">
        <v>45782</v>
      </c>
      <c r="E7" s="40">
        <v>45782</v>
      </c>
      <c r="F7" s="28" t="s">
        <v>18</v>
      </c>
      <c r="G7" s="27">
        <v>14</v>
      </c>
      <c r="H7" s="27">
        <v>35</v>
      </c>
      <c r="I7" s="2"/>
    </row>
    <row r="8" spans="1:26" ht="14.25" customHeight="1" x14ac:dyDescent="0.2">
      <c r="A8" s="49">
        <v>2</v>
      </c>
      <c r="B8" s="119" t="s">
        <v>165</v>
      </c>
      <c r="C8" s="92" t="s">
        <v>266</v>
      </c>
      <c r="D8" s="40">
        <v>45782</v>
      </c>
      <c r="E8" s="40">
        <v>45782</v>
      </c>
      <c r="F8" s="28" t="s">
        <v>18</v>
      </c>
      <c r="G8" s="27">
        <v>10</v>
      </c>
      <c r="H8" s="27">
        <v>25</v>
      </c>
      <c r="I8" s="2"/>
    </row>
    <row r="9" spans="1:26" ht="14.25" customHeight="1" x14ac:dyDescent="0.2">
      <c r="A9" s="49">
        <v>3</v>
      </c>
      <c r="B9" s="120"/>
      <c r="C9" s="92" t="s">
        <v>267</v>
      </c>
      <c r="D9" s="40">
        <v>45782</v>
      </c>
      <c r="E9" s="40">
        <v>45782</v>
      </c>
      <c r="F9" s="28" t="s">
        <v>15</v>
      </c>
      <c r="G9" s="27">
        <v>2</v>
      </c>
      <c r="H9" s="27">
        <v>5</v>
      </c>
      <c r="I9" s="2"/>
    </row>
    <row r="10" spans="1:26" ht="14.25" customHeight="1" x14ac:dyDescent="0.2">
      <c r="A10" s="49">
        <v>4</v>
      </c>
      <c r="B10" s="121"/>
      <c r="C10" s="92" t="s">
        <v>268</v>
      </c>
      <c r="D10" s="40">
        <v>45784</v>
      </c>
      <c r="E10" s="40">
        <v>45784</v>
      </c>
      <c r="F10" s="28" t="s">
        <v>18</v>
      </c>
      <c r="G10" s="27">
        <v>2</v>
      </c>
      <c r="H10" s="27">
        <v>5</v>
      </c>
      <c r="I10" s="2"/>
    </row>
    <row r="11" spans="1:26" ht="14.25" customHeight="1" x14ac:dyDescent="0.2">
      <c r="A11" s="49">
        <v>5</v>
      </c>
      <c r="B11" s="52" t="s">
        <v>87</v>
      </c>
      <c r="C11" s="92" t="s">
        <v>248</v>
      </c>
      <c r="D11" s="40">
        <v>45784</v>
      </c>
      <c r="E11" s="40">
        <v>45784</v>
      </c>
      <c r="F11" s="28" t="s">
        <v>18</v>
      </c>
      <c r="G11" s="27">
        <v>4</v>
      </c>
      <c r="H11" s="49">
        <v>10</v>
      </c>
      <c r="I11" s="2"/>
    </row>
    <row r="12" spans="1:26" ht="14.25" customHeight="1" x14ac:dyDescent="0.2">
      <c r="A12" s="49">
        <v>6</v>
      </c>
      <c r="B12" s="122" t="s">
        <v>118</v>
      </c>
      <c r="C12" s="92" t="s">
        <v>269</v>
      </c>
      <c r="D12" s="40">
        <v>45786</v>
      </c>
      <c r="E12" s="40">
        <v>45786</v>
      </c>
      <c r="F12" s="28" t="s">
        <v>18</v>
      </c>
      <c r="G12" s="27">
        <v>6</v>
      </c>
      <c r="H12" s="49">
        <v>15</v>
      </c>
      <c r="I12" s="2"/>
    </row>
    <row r="13" spans="1:26" ht="14.25" customHeight="1" x14ac:dyDescent="0.2">
      <c r="A13" s="49">
        <v>7</v>
      </c>
      <c r="B13" s="109"/>
      <c r="C13" s="92" t="s">
        <v>270</v>
      </c>
      <c r="D13" s="40">
        <v>45786</v>
      </c>
      <c r="E13" s="40">
        <v>45786</v>
      </c>
      <c r="F13" s="28" t="s">
        <v>18</v>
      </c>
      <c r="G13" s="27">
        <v>2</v>
      </c>
      <c r="H13" s="49">
        <v>5</v>
      </c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8:B10"/>
    <mergeCell ref="B12:B13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271</v>
      </c>
      <c r="E2" s="2" t="s">
        <v>272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1</v>
      </c>
      <c r="B7" s="122" t="s">
        <v>273</v>
      </c>
      <c r="C7" s="28" t="s">
        <v>274</v>
      </c>
      <c r="D7" s="40">
        <v>45789</v>
      </c>
      <c r="E7" s="40">
        <v>45789</v>
      </c>
      <c r="F7" s="28" t="s">
        <v>15</v>
      </c>
      <c r="G7" s="89">
        <v>6</v>
      </c>
      <c r="H7" s="27">
        <v>15</v>
      </c>
      <c r="I7" s="2"/>
    </row>
    <row r="8" spans="1:26" ht="14.25" customHeight="1" x14ac:dyDescent="0.2">
      <c r="A8" s="49">
        <v>2</v>
      </c>
      <c r="B8" s="109"/>
      <c r="C8" s="28" t="s">
        <v>275</v>
      </c>
      <c r="D8" s="40">
        <v>45790</v>
      </c>
      <c r="E8" s="40">
        <v>45790</v>
      </c>
      <c r="F8" s="28" t="s">
        <v>15</v>
      </c>
      <c r="G8" s="27">
        <v>12</v>
      </c>
      <c r="H8" s="27">
        <v>30</v>
      </c>
      <c r="I8" s="2"/>
    </row>
    <row r="9" spans="1:26" ht="14.25" customHeight="1" x14ac:dyDescent="0.2">
      <c r="A9" s="49">
        <v>3</v>
      </c>
      <c r="B9" s="122" t="s">
        <v>165</v>
      </c>
      <c r="C9" s="28" t="s">
        <v>276</v>
      </c>
      <c r="D9" s="40">
        <v>45792</v>
      </c>
      <c r="E9" s="40">
        <v>45792</v>
      </c>
      <c r="F9" s="28" t="s">
        <v>18</v>
      </c>
      <c r="G9" s="27">
        <v>8</v>
      </c>
      <c r="H9" s="27">
        <v>20</v>
      </c>
      <c r="I9" s="2"/>
    </row>
    <row r="10" spans="1:26" ht="14.25" customHeight="1" x14ac:dyDescent="0.2">
      <c r="A10" s="49">
        <v>4</v>
      </c>
      <c r="B10" s="109"/>
      <c r="C10" s="28" t="s">
        <v>277</v>
      </c>
      <c r="D10" s="40">
        <v>45793</v>
      </c>
      <c r="E10" s="40">
        <v>45793</v>
      </c>
      <c r="F10" s="28" t="s">
        <v>18</v>
      </c>
      <c r="G10" s="27">
        <v>2</v>
      </c>
      <c r="H10" s="27">
        <v>5</v>
      </c>
      <c r="I10" s="2"/>
    </row>
    <row r="11" spans="1:26" ht="14.25" customHeight="1" x14ac:dyDescent="0.2">
      <c r="A11" s="49">
        <v>5</v>
      </c>
      <c r="B11" s="52" t="s">
        <v>265</v>
      </c>
      <c r="C11" s="28" t="s">
        <v>278</v>
      </c>
      <c r="D11" s="40">
        <v>45789</v>
      </c>
      <c r="E11" s="40">
        <v>45789</v>
      </c>
      <c r="F11" s="28" t="s">
        <v>15</v>
      </c>
      <c r="G11" s="27">
        <v>8</v>
      </c>
      <c r="H11" s="49">
        <v>20</v>
      </c>
      <c r="I11" s="2"/>
    </row>
    <row r="12" spans="1:26" ht="14.25" customHeight="1" x14ac:dyDescent="0.2">
      <c r="A12" s="49">
        <v>6</v>
      </c>
      <c r="B12" s="52" t="s">
        <v>153</v>
      </c>
      <c r="C12" s="28" t="s">
        <v>279</v>
      </c>
      <c r="D12" s="40">
        <v>45792</v>
      </c>
      <c r="E12" s="40">
        <v>45792</v>
      </c>
      <c r="F12" s="28" t="s">
        <v>18</v>
      </c>
      <c r="G12" s="27">
        <v>4</v>
      </c>
      <c r="H12" s="49">
        <v>10</v>
      </c>
      <c r="I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7:9" ht="14.25" customHeight="1" x14ac:dyDescent="0.2">
      <c r="G17" s="53"/>
      <c r="I17" s="2"/>
    </row>
    <row r="18" spans="7:9" ht="14.25" customHeight="1" x14ac:dyDescent="0.2">
      <c r="G18" s="53"/>
      <c r="I18" s="2"/>
    </row>
    <row r="19" spans="7:9" ht="14.25" customHeight="1" x14ac:dyDescent="0.2">
      <c r="G19" s="53"/>
      <c r="I19" s="2"/>
    </row>
    <row r="20" spans="7:9" ht="14.25" customHeight="1" x14ac:dyDescent="0.2">
      <c r="G20" s="53"/>
      <c r="I20" s="2"/>
    </row>
    <row r="21" spans="7:9" ht="14.25" customHeight="1" x14ac:dyDescent="0.2">
      <c r="G21" s="53"/>
      <c r="I21" s="2"/>
    </row>
    <row r="22" spans="7:9" ht="14.25" customHeight="1" x14ac:dyDescent="0.2">
      <c r="G22" s="53"/>
    </row>
    <row r="23" spans="7:9" ht="14.25" customHeight="1" x14ac:dyDescent="0.2">
      <c r="G23" s="53"/>
    </row>
    <row r="24" spans="7:9" ht="14.25" customHeight="1" x14ac:dyDescent="0.2">
      <c r="G24" s="53"/>
    </row>
    <row r="25" spans="7:9" ht="14.25" customHeight="1" x14ac:dyDescent="0.2">
      <c r="G25" s="53"/>
    </row>
    <row r="26" spans="7:9" ht="14.25" customHeight="1" x14ac:dyDescent="0.2">
      <c r="G26" s="53"/>
    </row>
    <row r="27" spans="7:9" ht="14.25" customHeight="1" x14ac:dyDescent="0.2">
      <c r="G27" s="53"/>
    </row>
    <row r="28" spans="7:9" ht="14.25" customHeight="1" x14ac:dyDescent="0.2"/>
    <row r="29" spans="7:9" ht="14.25" customHeight="1" x14ac:dyDescent="0.2"/>
    <row r="30" spans="7:9" ht="14.25" customHeight="1" x14ac:dyDescent="0.2"/>
    <row r="31" spans="7:9" ht="14.25" customHeight="1" x14ac:dyDescent="0.2"/>
    <row r="32" spans="7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8"/>
    <mergeCell ref="B9:B10"/>
  </mergeCells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280</v>
      </c>
      <c r="E2" s="2" t="s">
        <v>281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1</v>
      </c>
      <c r="B7" s="122" t="s">
        <v>273</v>
      </c>
      <c r="C7" s="28" t="s">
        <v>282</v>
      </c>
      <c r="D7" s="40">
        <v>45798</v>
      </c>
      <c r="E7" s="40">
        <v>45798</v>
      </c>
      <c r="F7" s="28" t="s">
        <v>15</v>
      </c>
      <c r="G7" s="27">
        <v>4</v>
      </c>
      <c r="H7" s="27">
        <v>10</v>
      </c>
      <c r="I7" s="2"/>
    </row>
    <row r="8" spans="1:26" ht="14.25" customHeight="1" x14ac:dyDescent="0.2">
      <c r="A8" s="49">
        <v>2</v>
      </c>
      <c r="B8" s="109"/>
      <c r="C8" s="28" t="s">
        <v>283</v>
      </c>
      <c r="D8" s="40">
        <v>45799</v>
      </c>
      <c r="E8" s="40">
        <v>45799</v>
      </c>
      <c r="F8" s="28" t="s">
        <v>15</v>
      </c>
      <c r="G8" s="27">
        <v>4</v>
      </c>
      <c r="H8" s="27">
        <v>10</v>
      </c>
      <c r="I8" s="2"/>
    </row>
    <row r="9" spans="1:26" ht="14.25" customHeight="1" x14ac:dyDescent="0.2">
      <c r="A9" s="49">
        <v>3</v>
      </c>
      <c r="B9" s="122" t="s">
        <v>165</v>
      </c>
      <c r="C9" s="28" t="s">
        <v>284</v>
      </c>
      <c r="D9" s="40">
        <v>45796</v>
      </c>
      <c r="E9" s="40">
        <v>45796</v>
      </c>
      <c r="F9" s="28" t="s">
        <v>18</v>
      </c>
      <c r="G9" s="27">
        <v>14</v>
      </c>
      <c r="H9" s="27">
        <v>35</v>
      </c>
      <c r="I9" s="2"/>
    </row>
    <row r="10" spans="1:26" ht="14.25" customHeight="1" x14ac:dyDescent="0.2">
      <c r="A10" s="49">
        <v>4</v>
      </c>
      <c r="B10" s="109"/>
      <c r="C10" s="28" t="s">
        <v>285</v>
      </c>
      <c r="D10" s="40">
        <v>45798</v>
      </c>
      <c r="E10" s="40">
        <v>45798</v>
      </c>
      <c r="F10" s="28" t="s">
        <v>15</v>
      </c>
      <c r="G10" s="27">
        <v>7</v>
      </c>
      <c r="H10" s="27">
        <v>17.5</v>
      </c>
      <c r="I10" s="2"/>
    </row>
    <row r="11" spans="1:26" ht="14.25" customHeight="1" x14ac:dyDescent="0.2">
      <c r="A11" s="49">
        <v>5</v>
      </c>
      <c r="B11" s="52" t="s">
        <v>265</v>
      </c>
      <c r="C11" s="28" t="s">
        <v>278</v>
      </c>
      <c r="D11" s="40">
        <v>45797</v>
      </c>
      <c r="E11" s="40">
        <v>45797</v>
      </c>
      <c r="F11" s="28" t="s">
        <v>15</v>
      </c>
      <c r="G11" s="27">
        <v>3</v>
      </c>
      <c r="H11" s="49">
        <v>7.5</v>
      </c>
      <c r="I11" s="2"/>
    </row>
    <row r="12" spans="1:26" ht="14.25" customHeight="1" x14ac:dyDescent="0.2">
      <c r="A12" s="49">
        <v>6</v>
      </c>
      <c r="B12" s="52" t="s">
        <v>87</v>
      </c>
      <c r="C12" s="28" t="s">
        <v>87</v>
      </c>
      <c r="D12" s="40">
        <v>45800</v>
      </c>
      <c r="E12" s="40">
        <v>45800</v>
      </c>
      <c r="F12" s="28" t="s">
        <v>18</v>
      </c>
      <c r="G12" s="27">
        <v>8</v>
      </c>
      <c r="H12" s="49">
        <v>20</v>
      </c>
      <c r="I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>
      <c r="I18" s="2"/>
    </row>
    <row r="19" spans="9:9" ht="14.25" customHeight="1" x14ac:dyDescent="0.2">
      <c r="I19" s="2"/>
    </row>
    <row r="20" spans="9:9" ht="14.25" customHeight="1" x14ac:dyDescent="0.2">
      <c r="I20" s="2"/>
    </row>
    <row r="21" spans="9:9" ht="14.25" customHeight="1" x14ac:dyDescent="0.2">
      <c r="I21" s="2"/>
    </row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8"/>
    <mergeCell ref="B9:B10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286</v>
      </c>
      <c r="E2" s="2" t="s">
        <v>287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49">
        <v>1</v>
      </c>
      <c r="B7" s="122" t="s">
        <v>273</v>
      </c>
      <c r="C7" s="28" t="s">
        <v>283</v>
      </c>
      <c r="D7" s="40">
        <v>45803</v>
      </c>
      <c r="E7" s="40">
        <v>45803</v>
      </c>
      <c r="F7" s="28" t="s">
        <v>15</v>
      </c>
      <c r="G7" s="27">
        <v>12</v>
      </c>
      <c r="H7" s="27">
        <v>30</v>
      </c>
      <c r="I7" s="2"/>
    </row>
    <row r="8" spans="1:26" ht="14.25" customHeight="1" x14ac:dyDescent="0.2">
      <c r="A8" s="49">
        <v>2</v>
      </c>
      <c r="B8" s="109"/>
      <c r="C8" s="90" t="s">
        <v>288</v>
      </c>
      <c r="D8" s="40">
        <v>45807</v>
      </c>
      <c r="E8" s="40">
        <v>45807</v>
      </c>
      <c r="F8" s="28" t="s">
        <v>15</v>
      </c>
      <c r="G8" s="27">
        <v>6</v>
      </c>
      <c r="H8" s="27">
        <v>15</v>
      </c>
      <c r="I8" s="2"/>
    </row>
    <row r="9" spans="1:26" ht="14.25" customHeight="1" x14ac:dyDescent="0.2">
      <c r="A9" s="49">
        <v>3</v>
      </c>
      <c r="B9" s="122" t="s">
        <v>165</v>
      </c>
      <c r="C9" s="28" t="s">
        <v>285</v>
      </c>
      <c r="D9" s="40">
        <v>45804</v>
      </c>
      <c r="E9" s="40">
        <v>45804</v>
      </c>
      <c r="F9" s="28" t="s">
        <v>18</v>
      </c>
      <c r="G9" s="27">
        <v>12</v>
      </c>
      <c r="H9" s="27">
        <v>30</v>
      </c>
      <c r="I9" s="2"/>
    </row>
    <row r="10" spans="1:26" ht="14.25" customHeight="1" x14ac:dyDescent="0.2">
      <c r="A10" s="49">
        <v>4</v>
      </c>
      <c r="B10" s="109"/>
      <c r="C10" s="28" t="s">
        <v>289</v>
      </c>
      <c r="D10" s="40">
        <v>45806</v>
      </c>
      <c r="E10" s="40">
        <v>45806</v>
      </c>
      <c r="F10" s="28" t="s">
        <v>18</v>
      </c>
      <c r="G10" s="27">
        <v>4</v>
      </c>
      <c r="H10" s="27">
        <v>10</v>
      </c>
      <c r="I10" s="2"/>
    </row>
    <row r="11" spans="1:26" ht="14.25" customHeight="1" x14ac:dyDescent="0.2">
      <c r="A11" s="49">
        <v>5</v>
      </c>
      <c r="B11" s="52" t="s">
        <v>265</v>
      </c>
      <c r="C11" s="28" t="s">
        <v>290</v>
      </c>
      <c r="D11" s="40">
        <v>45807</v>
      </c>
      <c r="E11" s="40">
        <v>45807</v>
      </c>
      <c r="F11" s="28" t="s">
        <v>18</v>
      </c>
      <c r="G11" s="27">
        <v>2</v>
      </c>
      <c r="H11" s="49">
        <v>5</v>
      </c>
      <c r="I11" s="2"/>
    </row>
    <row r="12" spans="1:26" ht="14.25" customHeight="1" x14ac:dyDescent="0.2">
      <c r="A12" s="49">
        <v>6</v>
      </c>
      <c r="B12" s="52" t="s">
        <v>87</v>
      </c>
      <c r="C12" s="28" t="s">
        <v>87</v>
      </c>
      <c r="D12" s="40">
        <v>45806</v>
      </c>
      <c r="E12" s="40">
        <v>45806</v>
      </c>
      <c r="F12" s="28" t="s">
        <v>18</v>
      </c>
      <c r="G12" s="27">
        <v>4</v>
      </c>
      <c r="H12" s="49">
        <v>10</v>
      </c>
      <c r="I12" s="2"/>
    </row>
    <row r="13" spans="1:26" ht="14.25" customHeight="1" x14ac:dyDescent="0.2">
      <c r="I13" s="2"/>
    </row>
    <row r="14" spans="1:26" ht="14.25" customHeight="1" x14ac:dyDescent="0.2">
      <c r="I14" s="2"/>
    </row>
    <row r="15" spans="1:26" ht="14.25" customHeight="1" x14ac:dyDescent="0.2">
      <c r="I15" s="2"/>
    </row>
    <row r="16" spans="1:26" ht="14.25" customHeight="1" x14ac:dyDescent="0.2">
      <c r="I16" s="2"/>
    </row>
    <row r="17" spans="9:9" ht="14.25" customHeight="1" x14ac:dyDescent="0.2">
      <c r="I17" s="2"/>
    </row>
    <row r="18" spans="9:9" ht="14.25" customHeight="1" x14ac:dyDescent="0.2">
      <c r="I18" s="2"/>
    </row>
    <row r="19" spans="9:9" ht="14.25" customHeight="1" x14ac:dyDescent="0.2">
      <c r="I19" s="2"/>
    </row>
    <row r="20" spans="9:9" ht="14.25" customHeight="1" x14ac:dyDescent="0.2">
      <c r="I20" s="2"/>
    </row>
    <row r="21" spans="9:9" ht="14.25" customHeight="1" x14ac:dyDescent="0.2">
      <c r="I21" s="2"/>
    </row>
    <row r="22" spans="9:9" ht="14.25" customHeight="1" x14ac:dyDescent="0.2"/>
    <row r="23" spans="9:9" ht="14.25" customHeight="1" x14ac:dyDescent="0.2"/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8"/>
    <mergeCell ref="B9:B10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  <col min="9" max="26" width="8.625" customWidth="1"/>
  </cols>
  <sheetData>
    <row r="1" spans="1:26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2">
      <c r="A2" s="2"/>
      <c r="B2" s="2"/>
      <c r="C2" s="2"/>
      <c r="D2" s="2" t="s">
        <v>291</v>
      </c>
      <c r="E2" s="2" t="s">
        <v>292</v>
      </c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2">
      <c r="A3" s="2"/>
      <c r="B3" s="2"/>
      <c r="C3" s="2"/>
      <c r="D3" s="2"/>
      <c r="E3" s="2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">
      <c r="A5" s="2"/>
      <c r="B5" s="2"/>
      <c r="C5" s="2"/>
      <c r="D5" s="2"/>
      <c r="E5" s="2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2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">
      <c r="A7" s="93">
        <v>1</v>
      </c>
      <c r="B7" s="122" t="s">
        <v>273</v>
      </c>
      <c r="C7" s="28" t="s">
        <v>288</v>
      </c>
      <c r="D7" s="40">
        <v>45810</v>
      </c>
      <c r="E7" s="40">
        <v>45810</v>
      </c>
      <c r="F7" s="28" t="s">
        <v>18</v>
      </c>
      <c r="G7" s="27">
        <v>8</v>
      </c>
      <c r="H7" s="27">
        <v>20</v>
      </c>
      <c r="I7" s="2"/>
    </row>
    <row r="8" spans="1:26" ht="14.25" customHeight="1" x14ac:dyDescent="0.2">
      <c r="A8" s="93">
        <v>2</v>
      </c>
      <c r="B8" s="108"/>
      <c r="C8" s="28" t="s">
        <v>293</v>
      </c>
      <c r="D8" s="40">
        <v>45811</v>
      </c>
      <c r="E8" s="40">
        <v>45811</v>
      </c>
      <c r="F8" s="28" t="s">
        <v>18</v>
      </c>
      <c r="G8" s="27">
        <v>1</v>
      </c>
      <c r="H8" s="27">
        <v>2.5</v>
      </c>
      <c r="I8" s="2"/>
    </row>
    <row r="9" spans="1:26" ht="14.25" customHeight="1" x14ac:dyDescent="0.2">
      <c r="A9" s="93"/>
      <c r="B9" s="108"/>
      <c r="C9" s="28" t="s">
        <v>294</v>
      </c>
      <c r="D9" s="40">
        <v>45812</v>
      </c>
      <c r="E9" s="40">
        <v>45812</v>
      </c>
      <c r="F9" s="28" t="s">
        <v>18</v>
      </c>
      <c r="G9" s="27">
        <v>2</v>
      </c>
      <c r="H9" s="27">
        <v>5</v>
      </c>
      <c r="I9" s="2"/>
    </row>
    <row r="10" spans="1:26" ht="14.25" customHeight="1" x14ac:dyDescent="0.2">
      <c r="A10" s="93"/>
      <c r="B10" s="108"/>
      <c r="C10" s="28" t="s">
        <v>295</v>
      </c>
      <c r="D10" s="40">
        <v>45813</v>
      </c>
      <c r="E10" s="40">
        <v>45813</v>
      </c>
      <c r="F10" s="28" t="s">
        <v>18</v>
      </c>
      <c r="G10" s="27">
        <v>2</v>
      </c>
      <c r="H10" s="27">
        <v>5</v>
      </c>
      <c r="I10" s="2"/>
    </row>
    <row r="11" spans="1:26" ht="14.25" customHeight="1" x14ac:dyDescent="0.2">
      <c r="A11" s="93"/>
      <c r="B11" s="108"/>
      <c r="C11" s="28" t="s">
        <v>296</v>
      </c>
      <c r="D11" s="40">
        <v>45813</v>
      </c>
      <c r="E11" s="40">
        <v>45813</v>
      </c>
      <c r="F11" s="28" t="s">
        <v>18</v>
      </c>
      <c r="G11" s="27">
        <v>2</v>
      </c>
      <c r="H11" s="27">
        <v>5</v>
      </c>
      <c r="I11" s="2"/>
    </row>
    <row r="12" spans="1:26" ht="14.25" customHeight="1" x14ac:dyDescent="0.2">
      <c r="A12" s="93"/>
      <c r="B12" s="109"/>
      <c r="C12" s="28" t="s">
        <v>297</v>
      </c>
      <c r="D12" s="40">
        <v>45814</v>
      </c>
      <c r="E12" s="40">
        <v>45814</v>
      </c>
      <c r="F12" s="28" t="s">
        <v>18</v>
      </c>
      <c r="G12" s="27">
        <v>6</v>
      </c>
      <c r="H12" s="27">
        <v>15</v>
      </c>
      <c r="I12" s="2"/>
    </row>
    <row r="13" spans="1:26" ht="14.25" customHeight="1" x14ac:dyDescent="0.2">
      <c r="A13" s="93">
        <v>5</v>
      </c>
      <c r="B13" s="122" t="s">
        <v>265</v>
      </c>
      <c r="C13" s="28" t="s">
        <v>298</v>
      </c>
      <c r="D13" s="40">
        <v>45812</v>
      </c>
      <c r="E13" s="40">
        <v>45807</v>
      </c>
      <c r="F13" s="28" t="s">
        <v>18</v>
      </c>
      <c r="G13" s="27">
        <v>2</v>
      </c>
      <c r="H13" s="49">
        <v>5</v>
      </c>
      <c r="I13" s="2"/>
    </row>
    <row r="14" spans="1:26" ht="14.25" customHeight="1" x14ac:dyDescent="0.2">
      <c r="A14" s="93">
        <v>6</v>
      </c>
      <c r="B14" s="108"/>
      <c r="C14" s="28" t="s">
        <v>299</v>
      </c>
      <c r="D14" s="40">
        <v>45813</v>
      </c>
      <c r="E14" s="40">
        <v>45806</v>
      </c>
      <c r="F14" s="28" t="s">
        <v>18</v>
      </c>
      <c r="G14" s="27">
        <v>4</v>
      </c>
      <c r="H14" s="49">
        <v>10</v>
      </c>
      <c r="I14" s="2"/>
    </row>
    <row r="15" spans="1:26" ht="14.25" customHeight="1" x14ac:dyDescent="0.2">
      <c r="B15" s="109"/>
      <c r="C15" s="28" t="s">
        <v>300</v>
      </c>
      <c r="D15" s="40">
        <v>45811</v>
      </c>
      <c r="E15" s="40">
        <v>45811</v>
      </c>
      <c r="F15" s="28" t="s">
        <v>15</v>
      </c>
      <c r="G15" s="27">
        <v>2</v>
      </c>
      <c r="H15" s="49">
        <v>5</v>
      </c>
      <c r="I15" s="2"/>
    </row>
    <row r="16" spans="1:26" ht="14.25" customHeight="1" x14ac:dyDescent="0.2">
      <c r="B16" s="52" t="s">
        <v>165</v>
      </c>
      <c r="C16" s="28" t="s">
        <v>301</v>
      </c>
      <c r="D16" s="40">
        <v>45811</v>
      </c>
      <c r="E16" s="40">
        <v>45811</v>
      </c>
      <c r="F16" s="28" t="s">
        <v>18</v>
      </c>
      <c r="G16" s="27">
        <v>11</v>
      </c>
      <c r="H16" s="49">
        <v>27.500000000000004</v>
      </c>
      <c r="I16" s="2"/>
    </row>
    <row r="17" spans="9:9" ht="14.25" customHeight="1" x14ac:dyDescent="0.2">
      <c r="I17" s="2"/>
    </row>
    <row r="18" spans="9:9" ht="14.25" customHeight="1" x14ac:dyDescent="0.2">
      <c r="I18" s="2"/>
    </row>
    <row r="19" spans="9:9" ht="14.25" customHeight="1" x14ac:dyDescent="0.2">
      <c r="I19" s="2"/>
    </row>
    <row r="20" spans="9:9" ht="14.25" customHeight="1" x14ac:dyDescent="0.2">
      <c r="I20" s="2"/>
    </row>
    <row r="21" spans="9:9" ht="14.25" customHeight="1" x14ac:dyDescent="0.2">
      <c r="I21" s="2"/>
    </row>
    <row r="22" spans="9:9" ht="14.25" customHeight="1" x14ac:dyDescent="0.2">
      <c r="I22" s="2"/>
    </row>
    <row r="23" spans="9:9" ht="14.25" customHeight="1" x14ac:dyDescent="0.2">
      <c r="I23" s="2"/>
    </row>
    <row r="24" spans="9:9" ht="14.25" customHeight="1" x14ac:dyDescent="0.2"/>
    <row r="25" spans="9:9" ht="14.25" customHeight="1" x14ac:dyDescent="0.2"/>
    <row r="26" spans="9:9" ht="14.25" customHeight="1" x14ac:dyDescent="0.2"/>
    <row r="27" spans="9:9" ht="14.25" customHeight="1" x14ac:dyDescent="0.2"/>
    <row r="28" spans="9:9" ht="14.25" customHeight="1" x14ac:dyDescent="0.2"/>
    <row r="29" spans="9:9" ht="14.25" customHeight="1" x14ac:dyDescent="0.2"/>
    <row r="30" spans="9:9" ht="14.25" customHeight="1" x14ac:dyDescent="0.2"/>
    <row r="31" spans="9:9" ht="14.25" customHeight="1" x14ac:dyDescent="0.2"/>
    <row r="32" spans="9:9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3">
    <mergeCell ref="A1:F1"/>
    <mergeCell ref="B7:B12"/>
    <mergeCell ref="B13:B15"/>
  </mergeCells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302</v>
      </c>
      <c r="E2" s="2" t="s">
        <v>303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93">
        <v>1</v>
      </c>
      <c r="B7" s="122" t="s">
        <v>273</v>
      </c>
      <c r="C7" s="28" t="s">
        <v>304</v>
      </c>
      <c r="D7" s="40">
        <v>45817</v>
      </c>
      <c r="E7" s="40">
        <v>45817</v>
      </c>
      <c r="F7" s="28" t="s">
        <v>18</v>
      </c>
      <c r="G7" s="27">
        <v>14</v>
      </c>
      <c r="H7" s="27">
        <v>35</v>
      </c>
    </row>
    <row r="8" spans="1:8" ht="14.25" customHeight="1" x14ac:dyDescent="0.2">
      <c r="A8" s="93">
        <v>2</v>
      </c>
      <c r="B8" s="108"/>
      <c r="C8" s="28" t="s">
        <v>305</v>
      </c>
      <c r="D8" s="40">
        <v>45820</v>
      </c>
      <c r="E8" s="40">
        <v>45820</v>
      </c>
      <c r="F8" s="28" t="s">
        <v>18</v>
      </c>
      <c r="G8" s="89">
        <v>14</v>
      </c>
      <c r="H8" s="27">
        <v>35</v>
      </c>
    </row>
    <row r="9" spans="1:8" ht="14.25" customHeight="1" x14ac:dyDescent="0.2">
      <c r="A9" s="93">
        <v>3</v>
      </c>
      <c r="B9" s="109"/>
      <c r="C9" s="28" t="s">
        <v>306</v>
      </c>
      <c r="D9" s="40">
        <v>45821</v>
      </c>
      <c r="E9" s="40">
        <v>45821</v>
      </c>
      <c r="F9" s="28" t="s">
        <v>18</v>
      </c>
      <c r="G9" s="89">
        <v>2</v>
      </c>
      <c r="H9" s="27">
        <v>5</v>
      </c>
    </row>
    <row r="10" spans="1:8" ht="14.25" customHeight="1" x14ac:dyDescent="0.2">
      <c r="A10" s="93">
        <v>4</v>
      </c>
      <c r="B10" s="52" t="s">
        <v>265</v>
      </c>
      <c r="C10" s="28" t="s">
        <v>300</v>
      </c>
      <c r="D10" s="40">
        <v>45817</v>
      </c>
      <c r="E10" s="40">
        <v>45817</v>
      </c>
      <c r="F10" s="28" t="s">
        <v>18</v>
      </c>
      <c r="G10" s="27">
        <v>6</v>
      </c>
      <c r="H10" s="49">
        <v>15</v>
      </c>
    </row>
    <row r="11" spans="1:8" ht="14.25" customHeight="1" x14ac:dyDescent="0.2">
      <c r="A11" s="93">
        <v>5</v>
      </c>
      <c r="B11" s="52" t="s">
        <v>87</v>
      </c>
      <c r="C11" s="28" t="s">
        <v>248</v>
      </c>
      <c r="D11" s="40">
        <v>45818</v>
      </c>
      <c r="E11" s="40">
        <v>45818</v>
      </c>
      <c r="F11" s="28" t="s">
        <v>18</v>
      </c>
      <c r="G11" s="89">
        <v>4</v>
      </c>
      <c r="H11" s="49">
        <v>10</v>
      </c>
    </row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9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307</v>
      </c>
      <c r="E2" s="2" t="s">
        <v>308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49">
        <v>1</v>
      </c>
      <c r="B7" s="118" t="s">
        <v>273</v>
      </c>
      <c r="C7" s="28" t="s">
        <v>309</v>
      </c>
      <c r="D7" s="40">
        <v>45824</v>
      </c>
      <c r="E7" s="40">
        <v>45824</v>
      </c>
      <c r="F7" s="28" t="s">
        <v>18</v>
      </c>
      <c r="G7" s="27">
        <v>12</v>
      </c>
      <c r="H7" s="27">
        <v>40</v>
      </c>
    </row>
    <row r="8" spans="1:8" ht="14.25" customHeight="1" x14ac:dyDescent="0.2">
      <c r="A8" s="49">
        <v>2</v>
      </c>
      <c r="B8" s="108"/>
      <c r="C8" s="28" t="s">
        <v>310</v>
      </c>
      <c r="D8" s="40">
        <v>45825</v>
      </c>
      <c r="E8" s="40">
        <v>45825</v>
      </c>
      <c r="F8" s="28" t="s">
        <v>18</v>
      </c>
      <c r="G8" s="27">
        <v>4</v>
      </c>
      <c r="H8" s="27">
        <v>13.333333333333334</v>
      </c>
    </row>
    <row r="9" spans="1:8" ht="14.25" customHeight="1" x14ac:dyDescent="0.2">
      <c r="A9" s="49">
        <v>3</v>
      </c>
      <c r="B9" s="108"/>
      <c r="C9" s="28" t="s">
        <v>311</v>
      </c>
      <c r="D9" s="40">
        <v>45826</v>
      </c>
      <c r="E9" s="40">
        <v>45826</v>
      </c>
      <c r="F9" s="28" t="s">
        <v>18</v>
      </c>
      <c r="G9" s="27">
        <v>8</v>
      </c>
      <c r="H9" s="49">
        <v>26.666666666666668</v>
      </c>
    </row>
    <row r="10" spans="1:8" ht="14.25" customHeight="1" x14ac:dyDescent="0.2">
      <c r="A10" s="49">
        <v>4</v>
      </c>
      <c r="B10" s="108"/>
      <c r="C10" s="28" t="s">
        <v>312</v>
      </c>
      <c r="D10" s="40">
        <v>45827</v>
      </c>
      <c r="E10" s="40">
        <v>45827</v>
      </c>
      <c r="F10" s="28" t="s">
        <v>18</v>
      </c>
      <c r="G10" s="27">
        <v>8</v>
      </c>
      <c r="H10" s="49">
        <v>26.666666666666668</v>
      </c>
    </row>
    <row r="11" spans="1:8" ht="14.25" customHeight="1" x14ac:dyDescent="0.2">
      <c r="A11" s="49">
        <v>5</v>
      </c>
      <c r="B11" s="108"/>
      <c r="C11" s="28" t="s">
        <v>313</v>
      </c>
      <c r="D11" s="40">
        <v>45828</v>
      </c>
      <c r="E11" s="40">
        <v>45828</v>
      </c>
      <c r="F11" s="28" t="s">
        <v>18</v>
      </c>
      <c r="G11" s="27">
        <v>1</v>
      </c>
      <c r="H11" s="49">
        <v>3.3333333333333335</v>
      </c>
    </row>
    <row r="12" spans="1:8" ht="14.25" customHeight="1" x14ac:dyDescent="0.2">
      <c r="A12" s="49">
        <v>6</v>
      </c>
      <c r="B12" s="109"/>
      <c r="C12" s="28" t="s">
        <v>314</v>
      </c>
      <c r="D12" s="40">
        <v>45828</v>
      </c>
      <c r="E12" s="40">
        <v>45828</v>
      </c>
      <c r="F12" s="28" t="s">
        <v>315</v>
      </c>
      <c r="G12" s="27">
        <v>6</v>
      </c>
      <c r="H12" s="49">
        <v>20</v>
      </c>
    </row>
    <row r="13" spans="1:8" ht="14.25" customHeight="1" x14ac:dyDescent="0.2">
      <c r="A13" s="49">
        <v>7</v>
      </c>
      <c r="B13" s="51" t="s">
        <v>153</v>
      </c>
      <c r="C13" s="28" t="s">
        <v>316</v>
      </c>
      <c r="D13" s="40">
        <v>45828</v>
      </c>
      <c r="E13" s="40">
        <v>45828</v>
      </c>
      <c r="F13" s="28" t="s">
        <v>18</v>
      </c>
      <c r="G13" s="49">
        <v>1</v>
      </c>
      <c r="H13" s="49">
        <v>3.3333333333333335</v>
      </c>
    </row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12"/>
  </mergeCells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317</v>
      </c>
      <c r="E2" s="2" t="s">
        <v>318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49">
        <v>1</v>
      </c>
      <c r="B7" s="118" t="s">
        <v>273</v>
      </c>
      <c r="C7" s="28" t="s">
        <v>314</v>
      </c>
      <c r="D7" s="40">
        <v>45831</v>
      </c>
      <c r="E7" s="54">
        <v>45824</v>
      </c>
      <c r="F7" s="28" t="s">
        <v>18</v>
      </c>
      <c r="G7" s="27">
        <v>21</v>
      </c>
      <c r="H7" s="27">
        <v>52.5</v>
      </c>
    </row>
    <row r="8" spans="1:8" ht="14.25" customHeight="1" x14ac:dyDescent="0.2">
      <c r="A8" s="49">
        <v>2</v>
      </c>
      <c r="B8" s="108"/>
      <c r="C8" s="28" t="s">
        <v>319</v>
      </c>
      <c r="D8" s="40">
        <v>45834</v>
      </c>
      <c r="E8" s="54">
        <v>45834</v>
      </c>
      <c r="F8" s="28" t="s">
        <v>18</v>
      </c>
      <c r="G8" s="27">
        <v>1</v>
      </c>
      <c r="H8" s="27">
        <v>2.5</v>
      </c>
    </row>
    <row r="9" spans="1:8" ht="14.25" customHeight="1" x14ac:dyDescent="0.2">
      <c r="A9" s="49">
        <v>3</v>
      </c>
      <c r="B9" s="109"/>
      <c r="C9" s="28" t="s">
        <v>320</v>
      </c>
      <c r="D9" s="40">
        <v>45834</v>
      </c>
      <c r="E9" s="54">
        <v>45834</v>
      </c>
      <c r="F9" s="28" t="s">
        <v>15</v>
      </c>
      <c r="G9" s="27">
        <v>15</v>
      </c>
      <c r="H9" s="49">
        <v>37.5</v>
      </c>
    </row>
    <row r="10" spans="1:8" ht="14.25" customHeight="1" x14ac:dyDescent="0.2">
      <c r="A10" s="49">
        <v>7</v>
      </c>
      <c r="B10" s="52" t="s">
        <v>265</v>
      </c>
      <c r="C10" s="28" t="s">
        <v>321</v>
      </c>
      <c r="D10" s="40">
        <v>45832</v>
      </c>
      <c r="E10" s="54">
        <v>45832</v>
      </c>
      <c r="F10" s="28" t="s">
        <v>18</v>
      </c>
      <c r="G10" s="49">
        <v>3</v>
      </c>
      <c r="H10" s="49">
        <v>7.5</v>
      </c>
    </row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F1"/>
    <mergeCell ref="B7:B9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322</v>
      </c>
      <c r="E2" s="2" t="s">
        <v>323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49">
        <v>1</v>
      </c>
      <c r="B7" s="51" t="s">
        <v>273</v>
      </c>
      <c r="C7" s="28" t="s">
        <v>324</v>
      </c>
      <c r="D7" s="40" t="s">
        <v>325</v>
      </c>
      <c r="E7" s="54" t="s">
        <v>325</v>
      </c>
      <c r="F7" s="28" t="s">
        <v>15</v>
      </c>
      <c r="G7" s="27">
        <v>40</v>
      </c>
      <c r="H7" s="27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326</v>
      </c>
      <c r="E2" s="2" t="s">
        <v>327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49">
        <v>1</v>
      </c>
      <c r="B7" s="51" t="s">
        <v>273</v>
      </c>
      <c r="C7" s="28" t="s">
        <v>328</v>
      </c>
      <c r="D7" s="40" t="s">
        <v>329</v>
      </c>
      <c r="E7" s="54" t="s">
        <v>330</v>
      </c>
      <c r="F7" s="28" t="s">
        <v>15</v>
      </c>
      <c r="G7" s="27">
        <v>40</v>
      </c>
      <c r="H7" s="27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spans="6:6" ht="14.25" customHeight="1" x14ac:dyDescent="0.2"/>
    <row r="18" spans="6:6" ht="14.25" customHeight="1" x14ac:dyDescent="0.2"/>
    <row r="19" spans="6:6" ht="14.25" customHeight="1" x14ac:dyDescent="0.2"/>
    <row r="20" spans="6:6" ht="14.25" customHeight="1" x14ac:dyDescent="0.2"/>
    <row r="21" spans="6:6" ht="14.25" customHeight="1" x14ac:dyDescent="0.2"/>
    <row r="22" spans="6:6" ht="14.25" customHeight="1" x14ac:dyDescent="0.2"/>
    <row r="23" spans="6:6" ht="14.25" customHeight="1" x14ac:dyDescent="0.2"/>
    <row r="24" spans="6:6" ht="14.25" customHeight="1" x14ac:dyDescent="0.2"/>
    <row r="25" spans="6:6" ht="14.25" customHeight="1" x14ac:dyDescent="0.2"/>
    <row r="26" spans="6:6" ht="14.25" customHeight="1" x14ac:dyDescent="0.2"/>
    <row r="27" spans="6:6" ht="14.25" customHeight="1" x14ac:dyDescent="0.2"/>
    <row r="28" spans="6:6" ht="14.25" customHeight="1" x14ac:dyDescent="0.2"/>
    <row r="29" spans="6:6" ht="14.25" customHeight="1" x14ac:dyDescent="0.2"/>
    <row r="30" spans="6:6" ht="14.25" customHeight="1" x14ac:dyDescent="0.2"/>
    <row r="31" spans="6:6" ht="14.25" customHeight="1" x14ac:dyDescent="0.2"/>
    <row r="32" spans="6:6" ht="14.25" customHeight="1" x14ac:dyDescent="0.2">
      <c r="F32" s="23" t="s">
        <v>331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332</v>
      </c>
      <c r="E2" s="2" t="s">
        <v>333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49">
        <v>1</v>
      </c>
      <c r="B7" s="51" t="s">
        <v>273</v>
      </c>
      <c r="C7" s="28" t="s">
        <v>328</v>
      </c>
      <c r="D7" s="40" t="s">
        <v>334</v>
      </c>
      <c r="E7" s="40" t="s">
        <v>334</v>
      </c>
      <c r="F7" s="28" t="s">
        <v>15</v>
      </c>
      <c r="G7" s="27">
        <v>40</v>
      </c>
      <c r="H7" s="27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spans="6:6" ht="14.25" customHeight="1" x14ac:dyDescent="0.2"/>
    <row r="18" spans="6:6" ht="14.25" customHeight="1" x14ac:dyDescent="0.2"/>
    <row r="19" spans="6:6" ht="14.25" customHeight="1" x14ac:dyDescent="0.2"/>
    <row r="20" spans="6:6" ht="14.25" customHeight="1" x14ac:dyDescent="0.2"/>
    <row r="21" spans="6:6" ht="14.25" customHeight="1" x14ac:dyDescent="0.2"/>
    <row r="22" spans="6:6" ht="14.25" customHeight="1" x14ac:dyDescent="0.2"/>
    <row r="23" spans="6:6" ht="14.25" customHeight="1" x14ac:dyDescent="0.2"/>
    <row r="24" spans="6:6" ht="14.25" customHeight="1" x14ac:dyDescent="0.2"/>
    <row r="25" spans="6:6" ht="14.25" customHeight="1" x14ac:dyDescent="0.2"/>
    <row r="26" spans="6:6" ht="14.25" customHeight="1" x14ac:dyDescent="0.2"/>
    <row r="27" spans="6:6" ht="14.25" customHeight="1" x14ac:dyDescent="0.2"/>
    <row r="28" spans="6:6" ht="14.25" customHeight="1" x14ac:dyDescent="0.2"/>
    <row r="29" spans="6:6" ht="14.25" customHeight="1" x14ac:dyDescent="0.2"/>
    <row r="30" spans="6:6" ht="14.25" customHeight="1" x14ac:dyDescent="0.2"/>
    <row r="31" spans="6:6" ht="14.25" customHeight="1" x14ac:dyDescent="0.2"/>
    <row r="32" spans="6:6" ht="14.25" customHeight="1" x14ac:dyDescent="0.2">
      <c r="F32" s="23" t="s">
        <v>331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335</v>
      </c>
      <c r="E2" s="2" t="s">
        <v>336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49">
        <v>1</v>
      </c>
      <c r="B7" s="51" t="s">
        <v>273</v>
      </c>
      <c r="C7" s="28" t="s">
        <v>337</v>
      </c>
      <c r="D7" s="40" t="s">
        <v>338</v>
      </c>
      <c r="E7" s="40" t="s">
        <v>338</v>
      </c>
      <c r="F7" s="28" t="s">
        <v>18</v>
      </c>
      <c r="G7" s="27">
        <v>40</v>
      </c>
      <c r="H7" s="27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spans="6:6" ht="14.25" customHeight="1" x14ac:dyDescent="0.2"/>
    <row r="18" spans="6:6" ht="14.25" customHeight="1" x14ac:dyDescent="0.2"/>
    <row r="19" spans="6:6" ht="14.25" customHeight="1" x14ac:dyDescent="0.2"/>
    <row r="20" spans="6:6" ht="14.25" customHeight="1" x14ac:dyDescent="0.2"/>
    <row r="21" spans="6:6" ht="14.25" customHeight="1" x14ac:dyDescent="0.2"/>
    <row r="22" spans="6:6" ht="14.25" customHeight="1" x14ac:dyDescent="0.2"/>
    <row r="23" spans="6:6" ht="14.25" customHeight="1" x14ac:dyDescent="0.2"/>
    <row r="24" spans="6:6" ht="14.25" customHeight="1" x14ac:dyDescent="0.2"/>
    <row r="25" spans="6:6" ht="14.25" customHeight="1" x14ac:dyDescent="0.2"/>
    <row r="26" spans="6:6" ht="14.25" customHeight="1" x14ac:dyDescent="0.2"/>
    <row r="27" spans="6:6" ht="14.25" customHeight="1" x14ac:dyDescent="0.2"/>
    <row r="28" spans="6:6" ht="14.25" customHeight="1" x14ac:dyDescent="0.2"/>
    <row r="29" spans="6:6" ht="14.25" customHeight="1" x14ac:dyDescent="0.2"/>
    <row r="30" spans="6:6" ht="14.25" customHeight="1" x14ac:dyDescent="0.2"/>
    <row r="31" spans="6:6" ht="14.25" customHeight="1" x14ac:dyDescent="0.2"/>
    <row r="32" spans="6:6" ht="14.25" customHeight="1" x14ac:dyDescent="0.2">
      <c r="F32" s="23" t="s">
        <v>331</v>
      </c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339</v>
      </c>
      <c r="E2" s="2" t="s">
        <v>340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0">
        <v>1</v>
      </c>
      <c r="B7" s="51" t="s">
        <v>273</v>
      </c>
      <c r="C7" s="28" t="s">
        <v>341</v>
      </c>
      <c r="D7" s="40">
        <v>45866</v>
      </c>
      <c r="E7" s="40">
        <v>45866</v>
      </c>
      <c r="F7" s="55" t="s">
        <v>18</v>
      </c>
      <c r="G7" s="27">
        <v>1</v>
      </c>
      <c r="H7" s="27">
        <v>2.5</v>
      </c>
    </row>
    <row r="8" spans="1:8" ht="14.25" customHeight="1" x14ac:dyDescent="0.2">
      <c r="A8" s="49">
        <v>2</v>
      </c>
      <c r="B8" s="51" t="s">
        <v>273</v>
      </c>
      <c r="C8" s="28" t="s">
        <v>342</v>
      </c>
      <c r="D8" s="40">
        <v>45866</v>
      </c>
      <c r="E8" s="40">
        <v>45866</v>
      </c>
      <c r="F8" s="55" t="s">
        <v>18</v>
      </c>
      <c r="G8" s="27">
        <v>7</v>
      </c>
      <c r="H8" s="27">
        <v>17.5</v>
      </c>
    </row>
    <row r="9" spans="1:8" ht="14.25" customHeight="1" x14ac:dyDescent="0.2">
      <c r="A9" s="50">
        <v>3</v>
      </c>
      <c r="B9" s="51" t="s">
        <v>273</v>
      </c>
      <c r="C9" s="28" t="s">
        <v>343</v>
      </c>
      <c r="D9" s="40">
        <v>45867</v>
      </c>
      <c r="E9" s="40">
        <v>45867</v>
      </c>
      <c r="F9" s="55" t="s">
        <v>18</v>
      </c>
      <c r="G9" s="27">
        <v>4</v>
      </c>
      <c r="H9" s="27">
        <v>10</v>
      </c>
    </row>
    <row r="10" spans="1:8" ht="14.25" customHeight="1" x14ac:dyDescent="0.2">
      <c r="A10" s="49">
        <v>4</v>
      </c>
      <c r="B10" s="51" t="s">
        <v>273</v>
      </c>
      <c r="C10" s="28" t="s">
        <v>344</v>
      </c>
      <c r="D10" s="40">
        <v>45867</v>
      </c>
      <c r="E10" s="40">
        <v>45867</v>
      </c>
      <c r="F10" s="55" t="s">
        <v>18</v>
      </c>
      <c r="G10" s="27">
        <v>2</v>
      </c>
      <c r="H10" s="27">
        <v>5</v>
      </c>
    </row>
    <row r="11" spans="1:8" ht="14.25" customHeight="1" x14ac:dyDescent="0.2">
      <c r="A11" s="50">
        <v>5</v>
      </c>
      <c r="B11" s="51" t="s">
        <v>273</v>
      </c>
      <c r="C11" s="28" t="s">
        <v>345</v>
      </c>
      <c r="D11" s="40">
        <v>45867</v>
      </c>
      <c r="E11" s="40">
        <v>45867</v>
      </c>
      <c r="F11" s="55" t="s">
        <v>18</v>
      </c>
      <c r="G11" s="27">
        <v>2</v>
      </c>
      <c r="H11" s="27">
        <v>5</v>
      </c>
    </row>
    <row r="12" spans="1:8" ht="14.25" customHeight="1" x14ac:dyDescent="0.2">
      <c r="A12" s="49">
        <v>6</v>
      </c>
      <c r="B12" s="51" t="s">
        <v>273</v>
      </c>
      <c r="C12" s="28" t="s">
        <v>346</v>
      </c>
      <c r="D12" s="40">
        <v>45868</v>
      </c>
      <c r="E12" s="40">
        <v>45868</v>
      </c>
      <c r="F12" s="55" t="s">
        <v>18</v>
      </c>
      <c r="G12" s="27">
        <v>4</v>
      </c>
      <c r="H12" s="27">
        <v>10</v>
      </c>
    </row>
    <row r="13" spans="1:8" ht="14.25" customHeight="1" x14ac:dyDescent="0.2">
      <c r="A13" s="50">
        <v>7</v>
      </c>
      <c r="B13" s="51" t="s">
        <v>273</v>
      </c>
      <c r="C13" s="28" t="s">
        <v>347</v>
      </c>
      <c r="D13" s="40">
        <v>45868</v>
      </c>
      <c r="E13" s="40">
        <v>45868</v>
      </c>
      <c r="F13" s="55" t="s">
        <v>18</v>
      </c>
      <c r="G13" s="27">
        <v>2</v>
      </c>
      <c r="H13" s="27">
        <v>5</v>
      </c>
    </row>
    <row r="14" spans="1:8" ht="14.25" customHeight="1" x14ac:dyDescent="0.2">
      <c r="A14" s="49">
        <v>8</v>
      </c>
      <c r="B14" s="51" t="s">
        <v>273</v>
      </c>
      <c r="C14" s="28" t="s">
        <v>348</v>
      </c>
      <c r="D14" s="40">
        <v>45868</v>
      </c>
      <c r="E14" s="40">
        <v>45868</v>
      </c>
      <c r="F14" s="55" t="s">
        <v>18</v>
      </c>
      <c r="G14" s="27">
        <v>2</v>
      </c>
      <c r="H14" s="27">
        <v>5</v>
      </c>
    </row>
    <row r="15" spans="1:8" ht="14.25" customHeight="1" x14ac:dyDescent="0.2">
      <c r="A15" s="50">
        <v>9</v>
      </c>
      <c r="B15" s="51" t="s">
        <v>273</v>
      </c>
      <c r="C15" s="28" t="s">
        <v>349</v>
      </c>
      <c r="D15" s="40">
        <v>45869</v>
      </c>
      <c r="E15" s="40">
        <v>45869</v>
      </c>
      <c r="F15" s="55" t="s">
        <v>18</v>
      </c>
      <c r="G15" s="27">
        <v>4</v>
      </c>
      <c r="H15" s="27">
        <v>10</v>
      </c>
    </row>
    <row r="16" spans="1:8" ht="14.25" customHeight="1" x14ac:dyDescent="0.2">
      <c r="A16" s="49">
        <v>10</v>
      </c>
      <c r="B16" s="51" t="s">
        <v>273</v>
      </c>
      <c r="C16" s="28" t="s">
        <v>350</v>
      </c>
      <c r="D16" s="40">
        <v>45869</v>
      </c>
      <c r="E16" s="40">
        <v>45869</v>
      </c>
      <c r="F16" s="55" t="s">
        <v>18</v>
      </c>
      <c r="G16" s="27">
        <v>2</v>
      </c>
      <c r="H16" s="27">
        <v>5</v>
      </c>
    </row>
    <row r="17" spans="1:8" ht="14.25" customHeight="1" x14ac:dyDescent="0.2">
      <c r="A17" s="50">
        <v>11</v>
      </c>
      <c r="B17" s="51" t="s">
        <v>273</v>
      </c>
      <c r="C17" s="28" t="s">
        <v>351</v>
      </c>
      <c r="D17" s="40">
        <v>45869</v>
      </c>
      <c r="E17" s="40">
        <v>45869</v>
      </c>
      <c r="F17" s="55" t="s">
        <v>18</v>
      </c>
      <c r="G17" s="27">
        <v>2</v>
      </c>
      <c r="H17" s="27">
        <v>5</v>
      </c>
    </row>
    <row r="18" spans="1:8" ht="14.25" customHeight="1" x14ac:dyDescent="0.2">
      <c r="A18" s="49">
        <v>12</v>
      </c>
      <c r="B18" s="51" t="s">
        <v>273</v>
      </c>
      <c r="C18" s="28" t="s">
        <v>352</v>
      </c>
      <c r="D18" s="40">
        <v>45870</v>
      </c>
      <c r="E18" s="40">
        <v>45870</v>
      </c>
      <c r="F18" s="55" t="s">
        <v>18</v>
      </c>
      <c r="G18" s="27">
        <v>2</v>
      </c>
      <c r="H18" s="27">
        <v>5</v>
      </c>
    </row>
    <row r="19" spans="1:8" ht="14.25" customHeight="1" x14ac:dyDescent="0.2">
      <c r="A19" s="50">
        <v>13</v>
      </c>
      <c r="B19" s="51" t="s">
        <v>273</v>
      </c>
      <c r="C19" s="28" t="s">
        <v>353</v>
      </c>
      <c r="D19" s="40">
        <v>45870</v>
      </c>
      <c r="E19" s="40">
        <v>45870</v>
      </c>
      <c r="F19" s="55" t="s">
        <v>18</v>
      </c>
      <c r="G19" s="27">
        <v>2</v>
      </c>
      <c r="H19" s="27">
        <v>5</v>
      </c>
    </row>
    <row r="20" spans="1:8" ht="14.25" customHeight="1" x14ac:dyDescent="0.2">
      <c r="A20" s="49">
        <v>14</v>
      </c>
      <c r="B20" s="51" t="s">
        <v>273</v>
      </c>
      <c r="C20" s="28" t="s">
        <v>354</v>
      </c>
      <c r="D20" s="40">
        <v>45870</v>
      </c>
      <c r="E20" s="40">
        <v>45870</v>
      </c>
      <c r="F20" s="55" t="s">
        <v>15</v>
      </c>
      <c r="G20" s="27">
        <v>4</v>
      </c>
      <c r="H20" s="27">
        <v>10</v>
      </c>
    </row>
    <row r="21" spans="1:8" ht="14.25" customHeight="1" x14ac:dyDescent="0.2"/>
    <row r="22" spans="1:8" ht="14.25" customHeight="1" x14ac:dyDescent="0.2"/>
    <row r="23" spans="1:8" ht="14.25" customHeight="1" x14ac:dyDescent="0.2"/>
    <row r="24" spans="1:8" ht="14.25" customHeight="1" x14ac:dyDescent="0.2"/>
    <row r="25" spans="1:8" ht="14.25" customHeight="1" x14ac:dyDescent="0.2"/>
    <row r="26" spans="1:8" ht="14.25" customHeight="1" x14ac:dyDescent="0.2"/>
    <row r="27" spans="1:8" ht="14.25" customHeight="1" x14ac:dyDescent="0.2"/>
    <row r="28" spans="1:8" ht="14.25" customHeight="1" x14ac:dyDescent="0.2"/>
    <row r="29" spans="1:8" ht="14.25" customHeight="1" x14ac:dyDescent="0.2"/>
    <row r="30" spans="1:8" ht="14.25" customHeight="1" x14ac:dyDescent="0.2"/>
    <row r="31" spans="1:8" ht="14.25" customHeight="1" x14ac:dyDescent="0.2"/>
    <row r="32" spans="1:8" ht="14.25" customHeight="1" x14ac:dyDescent="0.2"/>
    <row r="33" spans="6:6" ht="14.25" customHeight="1" x14ac:dyDescent="0.2">
      <c r="F33" s="56">
        <v>4</v>
      </c>
    </row>
    <row r="34" spans="6:6" ht="14.25" customHeight="1" x14ac:dyDescent="0.2"/>
    <row r="35" spans="6:6" ht="14.25" customHeight="1" x14ac:dyDescent="0.2"/>
    <row r="36" spans="6:6" ht="14.25" customHeight="1" x14ac:dyDescent="0.2"/>
    <row r="37" spans="6:6" ht="14.25" customHeight="1" x14ac:dyDescent="0.2"/>
    <row r="38" spans="6:6" ht="14.25" customHeight="1" x14ac:dyDescent="0.2"/>
    <row r="39" spans="6:6" ht="14.25" customHeight="1" x14ac:dyDescent="0.2"/>
    <row r="40" spans="6:6" ht="14.25" customHeight="1" x14ac:dyDescent="0.2"/>
    <row r="41" spans="6:6" ht="14.25" customHeight="1" x14ac:dyDescent="0.2"/>
    <row r="42" spans="6:6" ht="14.25" customHeight="1" x14ac:dyDescent="0.2"/>
    <row r="43" spans="6:6" ht="14.25" customHeight="1" x14ac:dyDescent="0.2"/>
    <row r="44" spans="6:6" ht="14.25" customHeight="1" x14ac:dyDescent="0.2"/>
    <row r="45" spans="6:6" ht="14.25" customHeight="1" x14ac:dyDescent="0.2"/>
    <row r="46" spans="6:6" ht="14.25" customHeight="1" x14ac:dyDescent="0.2"/>
    <row r="47" spans="6:6" ht="14.25" customHeight="1" x14ac:dyDescent="0.2"/>
    <row r="48" spans="6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355</v>
      </c>
      <c r="E2" s="2" t="s">
        <v>356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0">
        <v>1</v>
      </c>
      <c r="B7" s="51" t="s">
        <v>273</v>
      </c>
      <c r="C7" s="28" t="s">
        <v>357</v>
      </c>
      <c r="D7" s="40">
        <v>45873</v>
      </c>
      <c r="E7" s="40">
        <v>45873</v>
      </c>
      <c r="F7" s="55" t="s">
        <v>18</v>
      </c>
      <c r="G7" s="27">
        <v>30</v>
      </c>
      <c r="H7" s="27">
        <v>75</v>
      </c>
    </row>
    <row r="8" spans="1:8" ht="14.25" customHeight="1" x14ac:dyDescent="0.2">
      <c r="A8" s="49">
        <v>2</v>
      </c>
      <c r="B8" s="51" t="s">
        <v>273</v>
      </c>
      <c r="C8" s="28" t="s">
        <v>358</v>
      </c>
      <c r="D8" s="40">
        <v>45874</v>
      </c>
      <c r="E8" s="40">
        <v>45874</v>
      </c>
      <c r="F8" s="55" t="s">
        <v>18</v>
      </c>
      <c r="G8" s="27">
        <v>2</v>
      </c>
      <c r="H8" s="27">
        <v>5</v>
      </c>
    </row>
    <row r="9" spans="1:8" ht="14.25" customHeight="1" x14ac:dyDescent="0.2">
      <c r="A9" s="50">
        <v>3</v>
      </c>
      <c r="B9" s="51" t="s">
        <v>273</v>
      </c>
      <c r="C9" s="28" t="s">
        <v>359</v>
      </c>
      <c r="D9" s="40">
        <v>45877</v>
      </c>
      <c r="E9" s="40">
        <v>45877</v>
      </c>
      <c r="F9" s="55" t="s">
        <v>15</v>
      </c>
      <c r="G9" s="27">
        <v>8</v>
      </c>
      <c r="H9" s="27">
        <v>20</v>
      </c>
    </row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24" customWidth="1"/>
    <col min="3" max="3" width="55.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360</v>
      </c>
      <c r="E2" s="2" t="s">
        <v>361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28">
        <v>1</v>
      </c>
      <c r="B7" s="28" t="s">
        <v>273</v>
      </c>
      <c r="C7" s="92" t="s">
        <v>359</v>
      </c>
      <c r="D7" s="40">
        <v>45880</v>
      </c>
      <c r="E7" s="40">
        <v>45880</v>
      </c>
      <c r="F7" s="55" t="s">
        <v>18</v>
      </c>
      <c r="G7" s="27">
        <v>7</v>
      </c>
      <c r="H7" s="27">
        <v>17.5</v>
      </c>
    </row>
    <row r="8" spans="1:8" ht="14.25" customHeight="1" x14ac:dyDescent="0.2">
      <c r="A8" s="28">
        <v>2</v>
      </c>
      <c r="B8" s="28" t="s">
        <v>273</v>
      </c>
      <c r="C8" s="92" t="s">
        <v>362</v>
      </c>
      <c r="D8" s="40">
        <v>45880</v>
      </c>
      <c r="E8" s="40">
        <v>45880</v>
      </c>
      <c r="F8" s="55" t="s">
        <v>18</v>
      </c>
      <c r="G8" s="27">
        <v>3</v>
      </c>
      <c r="H8" s="27">
        <v>7.5</v>
      </c>
    </row>
    <row r="9" spans="1:8" ht="14.25" customHeight="1" x14ac:dyDescent="0.2">
      <c r="A9" s="28">
        <v>3</v>
      </c>
      <c r="B9" s="28" t="s">
        <v>273</v>
      </c>
      <c r="C9" s="92" t="s">
        <v>363</v>
      </c>
      <c r="D9" s="40">
        <v>45881</v>
      </c>
      <c r="E9" s="40">
        <v>45881</v>
      </c>
      <c r="F9" s="55" t="s">
        <v>18</v>
      </c>
      <c r="G9" s="27">
        <v>7</v>
      </c>
      <c r="H9" s="27">
        <v>17.5</v>
      </c>
    </row>
    <row r="10" spans="1:8" ht="14.25" customHeight="1" x14ac:dyDescent="0.2">
      <c r="A10" s="28">
        <v>4</v>
      </c>
      <c r="B10" s="28" t="s">
        <v>273</v>
      </c>
      <c r="C10" s="92" t="s">
        <v>364</v>
      </c>
      <c r="D10" s="40">
        <v>45882</v>
      </c>
      <c r="E10" s="40">
        <v>45882</v>
      </c>
      <c r="F10" s="55" t="s">
        <v>15</v>
      </c>
      <c r="G10" s="27">
        <v>23</v>
      </c>
      <c r="H10" s="49">
        <v>57.499999999999993</v>
      </c>
    </row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365</v>
      </c>
      <c r="E2" s="2" t="s">
        <v>366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57" t="s">
        <v>6</v>
      </c>
      <c r="B6" s="57" t="s">
        <v>7</v>
      </c>
      <c r="C6" s="57" t="s">
        <v>59</v>
      </c>
      <c r="D6" s="57" t="s">
        <v>9</v>
      </c>
      <c r="E6" s="57" t="s">
        <v>10</v>
      </c>
      <c r="F6" s="58" t="s">
        <v>12</v>
      </c>
      <c r="G6" s="58" t="s">
        <v>60</v>
      </c>
      <c r="H6" s="58" t="s">
        <v>61</v>
      </c>
    </row>
    <row r="7" spans="1:8" ht="14.25" customHeight="1" x14ac:dyDescent="0.2">
      <c r="A7" s="28">
        <v>1</v>
      </c>
      <c r="B7" s="52" t="s">
        <v>273</v>
      </c>
      <c r="C7" s="28" t="s">
        <v>367</v>
      </c>
      <c r="D7" s="59">
        <v>45887</v>
      </c>
      <c r="E7" s="59">
        <v>45887</v>
      </c>
      <c r="F7" s="55" t="s">
        <v>18</v>
      </c>
      <c r="G7" s="55">
        <v>12</v>
      </c>
      <c r="H7" s="55">
        <v>30</v>
      </c>
    </row>
    <row r="8" spans="1:8" ht="14.25" customHeight="1" x14ac:dyDescent="0.2">
      <c r="A8" s="28">
        <v>2</v>
      </c>
      <c r="B8" s="52" t="s">
        <v>273</v>
      </c>
      <c r="C8" s="28" t="s">
        <v>87</v>
      </c>
      <c r="D8" s="59">
        <v>45888</v>
      </c>
      <c r="E8" s="59">
        <v>45888</v>
      </c>
      <c r="F8" s="55" t="s">
        <v>18</v>
      </c>
      <c r="G8" s="55">
        <v>4</v>
      </c>
      <c r="H8" s="55">
        <v>10</v>
      </c>
    </row>
    <row r="9" spans="1:8" ht="14.25" customHeight="1" x14ac:dyDescent="0.2">
      <c r="A9" s="28">
        <v>3</v>
      </c>
      <c r="B9" s="52" t="s">
        <v>273</v>
      </c>
      <c r="C9" s="28" t="s">
        <v>368</v>
      </c>
      <c r="D9" s="59">
        <v>45889</v>
      </c>
      <c r="E9" s="59">
        <v>45889</v>
      </c>
      <c r="F9" s="55" t="s">
        <v>18</v>
      </c>
      <c r="G9" s="55">
        <v>8</v>
      </c>
      <c r="H9" s="55">
        <v>20</v>
      </c>
    </row>
    <row r="10" spans="1:8" ht="14.25" customHeight="1" x14ac:dyDescent="0.2">
      <c r="A10" s="28">
        <v>4</v>
      </c>
      <c r="B10" s="52" t="s">
        <v>273</v>
      </c>
      <c r="C10" s="28" t="s">
        <v>369</v>
      </c>
      <c r="D10" s="59">
        <v>45891</v>
      </c>
      <c r="E10" s="59">
        <v>45891</v>
      </c>
      <c r="F10" s="55" t="s">
        <v>15</v>
      </c>
      <c r="G10" s="55">
        <v>8</v>
      </c>
      <c r="H10" s="55">
        <v>20</v>
      </c>
    </row>
    <row r="11" spans="1:8" ht="14.25" customHeight="1" x14ac:dyDescent="0.2">
      <c r="A11" s="28">
        <v>5</v>
      </c>
      <c r="B11" s="52" t="s">
        <v>265</v>
      </c>
      <c r="C11" s="28" t="s">
        <v>370</v>
      </c>
      <c r="D11" s="59">
        <v>45890</v>
      </c>
      <c r="E11" s="59">
        <v>45890</v>
      </c>
      <c r="F11" s="55" t="s">
        <v>18</v>
      </c>
      <c r="G11" s="55">
        <v>8</v>
      </c>
      <c r="H11" s="55">
        <v>20</v>
      </c>
    </row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371</v>
      </c>
      <c r="E2" s="2" t="s">
        <v>372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57" t="s">
        <v>6</v>
      </c>
      <c r="B6" s="57" t="s">
        <v>7</v>
      </c>
      <c r="C6" s="57" t="s">
        <v>59</v>
      </c>
      <c r="D6" s="57" t="s">
        <v>9</v>
      </c>
      <c r="E6" s="57" t="s">
        <v>10</v>
      </c>
      <c r="F6" s="58" t="s">
        <v>12</v>
      </c>
      <c r="G6" s="58" t="s">
        <v>60</v>
      </c>
      <c r="H6" s="58" t="s">
        <v>61</v>
      </c>
    </row>
    <row r="7" spans="1:8" ht="14.25" customHeight="1" x14ac:dyDescent="0.2">
      <c r="A7" s="41">
        <v>1</v>
      </c>
      <c r="B7" s="52" t="s">
        <v>273</v>
      </c>
      <c r="C7" s="28" t="s">
        <v>373</v>
      </c>
      <c r="D7" s="59">
        <v>45894</v>
      </c>
      <c r="E7" s="59">
        <v>45894</v>
      </c>
      <c r="F7" s="55" t="s">
        <v>18</v>
      </c>
      <c r="G7" s="55">
        <v>28</v>
      </c>
      <c r="H7" s="55">
        <v>70</v>
      </c>
    </row>
    <row r="8" spans="1:8" ht="14.25" customHeight="1" x14ac:dyDescent="0.2">
      <c r="A8" s="60">
        <v>2</v>
      </c>
      <c r="B8" s="52" t="s">
        <v>273</v>
      </c>
      <c r="C8" s="28" t="s">
        <v>374</v>
      </c>
      <c r="D8" s="59">
        <v>45894</v>
      </c>
      <c r="E8" s="59">
        <v>45894</v>
      </c>
      <c r="F8" s="55" t="s">
        <v>15</v>
      </c>
      <c r="G8" s="55">
        <v>8</v>
      </c>
      <c r="H8" s="55">
        <v>20</v>
      </c>
    </row>
    <row r="9" spans="1:8" ht="14.25" customHeight="1" x14ac:dyDescent="0.2">
      <c r="A9" s="60">
        <v>3</v>
      </c>
      <c r="B9" s="52" t="s">
        <v>86</v>
      </c>
      <c r="C9" s="28" t="s">
        <v>375</v>
      </c>
      <c r="D9" s="59">
        <v>45898</v>
      </c>
      <c r="E9" s="59">
        <v>45898</v>
      </c>
      <c r="F9" s="55" t="s">
        <v>18</v>
      </c>
      <c r="G9" s="55">
        <v>4</v>
      </c>
      <c r="H9" s="55">
        <v>10</v>
      </c>
    </row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376</v>
      </c>
      <c r="E2" s="2" t="s">
        <v>377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57" t="s">
        <v>6</v>
      </c>
      <c r="B6" s="57" t="s">
        <v>7</v>
      </c>
      <c r="C6" s="57" t="s">
        <v>59</v>
      </c>
      <c r="D6" s="57" t="s">
        <v>9</v>
      </c>
      <c r="E6" s="57" t="s">
        <v>10</v>
      </c>
      <c r="F6" s="58" t="s">
        <v>12</v>
      </c>
      <c r="G6" s="58" t="s">
        <v>60</v>
      </c>
      <c r="H6" s="58" t="s">
        <v>61</v>
      </c>
    </row>
    <row r="7" spans="1:8" ht="14.25" customHeight="1" x14ac:dyDescent="0.2">
      <c r="A7" s="55">
        <v>1</v>
      </c>
      <c r="B7" s="52" t="s">
        <v>86</v>
      </c>
      <c r="C7" s="28" t="s">
        <v>240</v>
      </c>
      <c r="D7" s="61">
        <v>45901</v>
      </c>
      <c r="E7" s="61">
        <v>45901</v>
      </c>
      <c r="F7" s="55" t="s">
        <v>18</v>
      </c>
      <c r="G7" s="55">
        <v>16</v>
      </c>
      <c r="H7" s="55">
        <v>40</v>
      </c>
    </row>
    <row r="8" spans="1:8" ht="14.25" customHeight="1" x14ac:dyDescent="0.2">
      <c r="A8" s="55">
        <v>2</v>
      </c>
      <c r="B8" s="52" t="s">
        <v>273</v>
      </c>
      <c r="C8" s="28" t="s">
        <v>378</v>
      </c>
      <c r="D8" s="61">
        <v>45903</v>
      </c>
      <c r="E8" s="61">
        <v>45903</v>
      </c>
      <c r="F8" s="55" t="s">
        <v>18</v>
      </c>
      <c r="G8" s="27">
        <v>8</v>
      </c>
      <c r="H8" s="55">
        <v>20</v>
      </c>
    </row>
    <row r="9" spans="1:8" ht="14.25" customHeight="1" x14ac:dyDescent="0.2">
      <c r="A9" s="55">
        <v>3</v>
      </c>
      <c r="B9" s="52" t="s">
        <v>273</v>
      </c>
      <c r="C9" s="28" t="s">
        <v>378</v>
      </c>
      <c r="D9" s="61">
        <v>45904</v>
      </c>
      <c r="E9" s="61">
        <v>45904</v>
      </c>
      <c r="F9" s="55" t="s">
        <v>18</v>
      </c>
      <c r="G9" s="27">
        <v>8</v>
      </c>
      <c r="H9" s="55">
        <v>20</v>
      </c>
    </row>
    <row r="10" spans="1:8" ht="14.25" customHeight="1" x14ac:dyDescent="0.2">
      <c r="A10" s="55">
        <v>4</v>
      </c>
      <c r="B10" s="52" t="s">
        <v>265</v>
      </c>
      <c r="C10" s="28" t="s">
        <v>379</v>
      </c>
      <c r="D10" s="61">
        <v>45905</v>
      </c>
      <c r="E10" s="61">
        <v>45905</v>
      </c>
      <c r="F10" s="55" t="s">
        <v>18</v>
      </c>
      <c r="G10" s="27">
        <v>4</v>
      </c>
      <c r="H10" s="55">
        <v>10</v>
      </c>
    </row>
    <row r="11" spans="1:8" ht="14.25" customHeight="1" x14ac:dyDescent="0.2">
      <c r="A11" s="55">
        <v>5</v>
      </c>
      <c r="B11" s="52" t="s">
        <v>273</v>
      </c>
      <c r="C11" s="28" t="s">
        <v>380</v>
      </c>
      <c r="D11" s="61">
        <v>45905</v>
      </c>
      <c r="E11" s="61">
        <v>45905</v>
      </c>
      <c r="F11" s="55" t="s">
        <v>15</v>
      </c>
      <c r="G11" s="27">
        <v>4</v>
      </c>
      <c r="H11" s="55">
        <v>10</v>
      </c>
    </row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381</v>
      </c>
      <c r="E2" s="2" t="s">
        <v>382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383</v>
      </c>
      <c r="D7" s="59">
        <v>45908</v>
      </c>
      <c r="E7" s="59">
        <v>45908</v>
      </c>
      <c r="F7" s="55" t="s">
        <v>15</v>
      </c>
      <c r="G7" s="27">
        <v>8</v>
      </c>
      <c r="H7" s="55">
        <v>20</v>
      </c>
    </row>
    <row r="8" spans="1:8" ht="14.25" customHeight="1" x14ac:dyDescent="0.2">
      <c r="A8" s="55">
        <v>2</v>
      </c>
      <c r="B8" s="52" t="s">
        <v>273</v>
      </c>
      <c r="C8" s="28" t="s">
        <v>384</v>
      </c>
      <c r="D8" s="59">
        <v>45909</v>
      </c>
      <c r="E8" s="59">
        <v>45909</v>
      </c>
      <c r="F8" s="55" t="s">
        <v>18</v>
      </c>
      <c r="G8" s="27">
        <v>8</v>
      </c>
      <c r="H8" s="55">
        <v>20</v>
      </c>
    </row>
    <row r="9" spans="1:8" ht="14.25" customHeight="1" x14ac:dyDescent="0.2">
      <c r="A9" s="55">
        <v>3</v>
      </c>
      <c r="B9" s="52" t="s">
        <v>273</v>
      </c>
      <c r="C9" s="28" t="s">
        <v>385</v>
      </c>
      <c r="D9" s="59">
        <v>45910</v>
      </c>
      <c r="E9" s="59">
        <v>45910</v>
      </c>
      <c r="F9" s="55" t="s">
        <v>18</v>
      </c>
      <c r="G9" s="27">
        <v>20</v>
      </c>
      <c r="H9" s="55">
        <v>50</v>
      </c>
    </row>
    <row r="10" spans="1:8" ht="14.25" customHeight="1" x14ac:dyDescent="0.2">
      <c r="A10" s="55">
        <v>4</v>
      </c>
      <c r="B10" s="52" t="s">
        <v>87</v>
      </c>
      <c r="C10" s="28" t="s">
        <v>87</v>
      </c>
      <c r="D10" s="59">
        <v>45911</v>
      </c>
      <c r="E10" s="59">
        <v>45911</v>
      </c>
      <c r="F10" s="55" t="s">
        <v>18</v>
      </c>
      <c r="G10" s="27">
        <v>4</v>
      </c>
      <c r="H10" s="55">
        <v>10</v>
      </c>
    </row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386</v>
      </c>
      <c r="E2" s="2" t="s">
        <v>387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388</v>
      </c>
      <c r="D7" s="59">
        <v>45915</v>
      </c>
      <c r="E7" s="59">
        <v>45915</v>
      </c>
      <c r="F7" s="55" t="s">
        <v>18</v>
      </c>
      <c r="G7" s="27">
        <v>16</v>
      </c>
      <c r="H7" s="55">
        <v>40</v>
      </c>
    </row>
    <row r="8" spans="1:8" ht="14.25" customHeight="1" x14ac:dyDescent="0.2">
      <c r="A8" s="55">
        <v>2</v>
      </c>
      <c r="B8" s="52" t="s">
        <v>273</v>
      </c>
      <c r="C8" s="28" t="s">
        <v>389</v>
      </c>
      <c r="D8" s="59">
        <v>45917</v>
      </c>
      <c r="E8" s="59">
        <v>45917</v>
      </c>
      <c r="F8" s="55" t="s">
        <v>18</v>
      </c>
      <c r="G8" s="27">
        <v>8</v>
      </c>
      <c r="H8" s="55">
        <v>20</v>
      </c>
    </row>
    <row r="9" spans="1:8" ht="14.25" customHeight="1" x14ac:dyDescent="0.2">
      <c r="A9" s="55">
        <v>3</v>
      </c>
      <c r="B9" s="52" t="s">
        <v>273</v>
      </c>
      <c r="C9" s="28" t="s">
        <v>390</v>
      </c>
      <c r="D9" s="59">
        <v>45918</v>
      </c>
      <c r="E9" s="59">
        <v>45918</v>
      </c>
      <c r="F9" s="55" t="s">
        <v>15</v>
      </c>
      <c r="G9" s="27">
        <v>16</v>
      </c>
      <c r="H9" s="55">
        <v>40</v>
      </c>
    </row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391</v>
      </c>
      <c r="E2" s="2" t="s">
        <v>392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393</v>
      </c>
      <c r="D7" s="59">
        <v>45922</v>
      </c>
      <c r="E7" s="59">
        <v>45922</v>
      </c>
      <c r="F7" s="55" t="s">
        <v>18</v>
      </c>
      <c r="G7" s="27">
        <v>8</v>
      </c>
      <c r="H7" s="55">
        <v>20</v>
      </c>
    </row>
    <row r="8" spans="1:8" ht="14.25" customHeight="1" x14ac:dyDescent="0.2">
      <c r="A8" s="55">
        <v>2</v>
      </c>
      <c r="B8" s="52" t="s">
        <v>273</v>
      </c>
      <c r="C8" s="28" t="s">
        <v>394</v>
      </c>
      <c r="D8" s="59">
        <v>45923</v>
      </c>
      <c r="E8" s="59">
        <v>45923</v>
      </c>
      <c r="F8" s="55" t="s">
        <v>18</v>
      </c>
      <c r="G8" s="27">
        <v>8</v>
      </c>
      <c r="H8" s="55">
        <v>20</v>
      </c>
    </row>
    <row r="9" spans="1:8" ht="14.25" customHeight="1" x14ac:dyDescent="0.2">
      <c r="A9" s="55">
        <v>3</v>
      </c>
      <c r="B9" s="52" t="s">
        <v>273</v>
      </c>
      <c r="C9" s="28" t="s">
        <v>390</v>
      </c>
      <c r="D9" s="59">
        <v>45924</v>
      </c>
      <c r="E9" s="59">
        <v>45924</v>
      </c>
      <c r="F9" s="55" t="s">
        <v>15</v>
      </c>
      <c r="G9" s="27">
        <v>24</v>
      </c>
      <c r="H9" s="55">
        <v>60</v>
      </c>
    </row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395</v>
      </c>
      <c r="E2" s="2" t="s">
        <v>396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390</v>
      </c>
      <c r="D7" s="59">
        <v>45929</v>
      </c>
      <c r="E7" s="59">
        <v>45929</v>
      </c>
      <c r="F7" s="55" t="s">
        <v>15</v>
      </c>
      <c r="G7" s="27">
        <v>40</v>
      </c>
      <c r="H7" s="55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397</v>
      </c>
      <c r="E2" s="2" t="s">
        <v>398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399</v>
      </c>
      <c r="D7" s="59">
        <v>45943</v>
      </c>
      <c r="E7" s="59">
        <v>45943</v>
      </c>
      <c r="F7" s="55" t="s">
        <v>18</v>
      </c>
      <c r="G7" s="27">
        <v>40</v>
      </c>
      <c r="H7" s="55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400</v>
      </c>
      <c r="E2" s="2" t="s">
        <v>401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399</v>
      </c>
      <c r="D7" s="59">
        <v>45950</v>
      </c>
      <c r="E7" s="59">
        <v>45954</v>
      </c>
      <c r="F7" s="55" t="s">
        <v>18</v>
      </c>
      <c r="G7" s="27">
        <v>40</v>
      </c>
      <c r="H7" s="55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402</v>
      </c>
      <c r="E2" s="2" t="s">
        <v>403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399</v>
      </c>
      <c r="D7" s="59">
        <v>45957</v>
      </c>
      <c r="E7" s="59">
        <v>45957</v>
      </c>
      <c r="F7" s="55" t="s">
        <v>18</v>
      </c>
      <c r="G7" s="27">
        <v>24</v>
      </c>
      <c r="H7" s="55">
        <v>60</v>
      </c>
    </row>
    <row r="8" spans="1:8" ht="14.25" customHeight="1" x14ac:dyDescent="0.2">
      <c r="A8" s="55">
        <v>2</v>
      </c>
      <c r="B8" s="52" t="s">
        <v>404</v>
      </c>
      <c r="C8" s="28" t="s">
        <v>405</v>
      </c>
      <c r="D8" s="59">
        <v>45960</v>
      </c>
      <c r="E8" s="59">
        <v>45960</v>
      </c>
      <c r="F8" s="55" t="s">
        <v>18</v>
      </c>
      <c r="G8" s="27">
        <v>16</v>
      </c>
      <c r="H8" s="55">
        <v>40</v>
      </c>
    </row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406</v>
      </c>
      <c r="E2" s="2" t="s">
        <v>407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52" t="s">
        <v>273</v>
      </c>
      <c r="C7" s="28" t="s">
        <v>399</v>
      </c>
      <c r="D7" s="59">
        <v>45964</v>
      </c>
      <c r="E7" s="59">
        <v>45964</v>
      </c>
      <c r="F7" s="55" t="s">
        <v>18</v>
      </c>
      <c r="G7" s="27">
        <v>40</v>
      </c>
      <c r="H7" s="55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408</v>
      </c>
      <c r="E2" s="2" t="s">
        <v>409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410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62" t="s">
        <v>411</v>
      </c>
      <c r="C7" s="28" t="s">
        <v>412</v>
      </c>
      <c r="D7" s="59" t="s">
        <v>413</v>
      </c>
      <c r="E7" s="59" t="s">
        <v>413</v>
      </c>
      <c r="F7" s="55" t="s">
        <v>18</v>
      </c>
      <c r="G7" s="27">
        <v>16</v>
      </c>
      <c r="H7" s="55">
        <v>100</v>
      </c>
    </row>
    <row r="8" spans="1:8" ht="14.25" customHeight="1" x14ac:dyDescent="0.2">
      <c r="A8" s="55">
        <v>2</v>
      </c>
      <c r="B8" s="63" t="s">
        <v>414</v>
      </c>
      <c r="C8" s="64" t="s">
        <v>415</v>
      </c>
      <c r="D8" s="59" t="s">
        <v>416</v>
      </c>
      <c r="E8" s="59" t="s">
        <v>416</v>
      </c>
      <c r="F8" s="55" t="s">
        <v>18</v>
      </c>
      <c r="G8" s="27">
        <v>16</v>
      </c>
      <c r="H8" s="55">
        <v>100</v>
      </c>
    </row>
    <row r="9" spans="1:8" ht="14.25" customHeight="1" x14ac:dyDescent="0.2">
      <c r="A9" s="55">
        <v>3</v>
      </c>
      <c r="B9" s="63" t="s">
        <v>417</v>
      </c>
      <c r="C9" s="28" t="s">
        <v>418</v>
      </c>
      <c r="D9" s="59" t="s">
        <v>419</v>
      </c>
      <c r="E9" s="59" t="s">
        <v>419</v>
      </c>
      <c r="F9" s="55" t="s">
        <v>18</v>
      </c>
      <c r="G9" s="27">
        <v>8</v>
      </c>
      <c r="H9" s="55">
        <v>100</v>
      </c>
    </row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1000"/>
  <sheetViews>
    <sheetView workbookViewId="0"/>
  </sheetViews>
  <sheetFormatPr defaultColWidth="12.625" defaultRowHeight="15" customHeight="1" x14ac:dyDescent="0.2"/>
  <cols>
    <col min="1" max="1" width="8.625" customWidth="1"/>
    <col min="2" max="2" width="15.125" customWidth="1"/>
    <col min="3" max="3" width="46.12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2"/>
    </row>
    <row r="2" spans="1:8" ht="14.25" customHeight="1" x14ac:dyDescent="0.2">
      <c r="A2" s="2"/>
      <c r="B2" s="2"/>
      <c r="C2" s="2"/>
      <c r="D2" s="2" t="s">
        <v>420</v>
      </c>
      <c r="E2" s="2" t="s">
        <v>421</v>
      </c>
      <c r="F2" s="4"/>
      <c r="G2" s="4"/>
      <c r="H2" s="2"/>
    </row>
    <row r="3" spans="1:8" ht="14.25" customHeight="1" x14ac:dyDescent="0.2">
      <c r="A3" s="2"/>
      <c r="B3" s="2"/>
      <c r="C3" s="2"/>
      <c r="D3" s="2"/>
      <c r="E3" s="2"/>
      <c r="F3" s="4"/>
      <c r="G3" s="4"/>
      <c r="H3" s="2"/>
    </row>
    <row r="4" spans="1:8" ht="14.25" customHeight="1" x14ac:dyDescent="0.2">
      <c r="A4" s="5" t="s">
        <v>3</v>
      </c>
      <c r="B4" s="6" t="s">
        <v>410</v>
      </c>
      <c r="C4" s="2"/>
      <c r="D4" s="2"/>
      <c r="E4" s="2"/>
      <c r="F4" s="4"/>
      <c r="G4" s="4"/>
      <c r="H4" s="2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2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21" t="s">
        <v>61</v>
      </c>
    </row>
    <row r="7" spans="1:8" ht="14.25" customHeight="1" x14ac:dyDescent="0.2">
      <c r="A7" s="55">
        <v>1</v>
      </c>
      <c r="B7" s="62" t="s">
        <v>411</v>
      </c>
      <c r="C7" s="16" t="s">
        <v>422</v>
      </c>
      <c r="D7" s="59" t="s">
        <v>423</v>
      </c>
      <c r="E7" s="59" t="s">
        <v>423</v>
      </c>
      <c r="F7" s="55" t="s">
        <v>18</v>
      </c>
      <c r="G7" s="27">
        <v>40</v>
      </c>
      <c r="H7" s="55">
        <v>100</v>
      </c>
    </row>
    <row r="8" spans="1:8" ht="14.25" customHeight="1" x14ac:dyDescent="0.2"/>
    <row r="9" spans="1:8" ht="14.25" customHeight="1" x14ac:dyDescent="0.2"/>
    <row r="10" spans="1:8" ht="14.25" customHeight="1" x14ac:dyDescent="0.2"/>
    <row r="11" spans="1:8" ht="14.25" customHeight="1" x14ac:dyDescent="0.2"/>
    <row r="12" spans="1:8" ht="14.25" customHeight="1" x14ac:dyDescent="0.2"/>
    <row r="13" spans="1:8" ht="14.25" customHeight="1" x14ac:dyDescent="0.2"/>
    <row r="14" spans="1:8" ht="14.25" customHeight="1" x14ac:dyDescent="0.2"/>
    <row r="15" spans="1:8" ht="14.25" customHeight="1" x14ac:dyDescent="0.2"/>
    <row r="16" spans="1:8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424</v>
      </c>
      <c r="E2" s="2" t="s">
        <v>425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427</v>
      </c>
      <c r="E3" s="2" t="s">
        <v>428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430</v>
      </c>
      <c r="C7" s="69" t="s">
        <v>431</v>
      </c>
      <c r="D7" s="70">
        <v>46160</v>
      </c>
      <c r="E7" s="70">
        <v>46160</v>
      </c>
      <c r="F7" s="68" t="s">
        <v>191</v>
      </c>
      <c r="G7" s="10">
        <v>4</v>
      </c>
      <c r="H7" s="71">
        <f t="shared" ref="H7:H8" si="0">G7/SUM($G$7:$G$12)</f>
        <v>0.1</v>
      </c>
    </row>
    <row r="8" spans="1:8" ht="14.25" customHeight="1" x14ac:dyDescent="0.25">
      <c r="A8" s="94">
        <v>2</v>
      </c>
      <c r="B8" s="68" t="s">
        <v>430</v>
      </c>
      <c r="C8" s="69" t="s">
        <v>432</v>
      </c>
      <c r="D8" s="70">
        <v>46160</v>
      </c>
      <c r="E8" s="70">
        <v>46160</v>
      </c>
      <c r="F8" s="68" t="s">
        <v>191</v>
      </c>
      <c r="G8" s="10">
        <v>5</v>
      </c>
      <c r="H8" s="71">
        <f t="shared" si="0"/>
        <v>0.125</v>
      </c>
    </row>
    <row r="9" spans="1:8" ht="14.25" customHeight="1" x14ac:dyDescent="0.25">
      <c r="A9" s="68">
        <v>3</v>
      </c>
      <c r="B9" s="68" t="s">
        <v>433</v>
      </c>
      <c r="C9" s="69" t="s">
        <v>434</v>
      </c>
      <c r="D9" s="70">
        <v>46163</v>
      </c>
      <c r="E9" s="70">
        <v>46163</v>
      </c>
      <c r="F9" s="68" t="s">
        <v>18</v>
      </c>
      <c r="G9" s="10">
        <v>2</v>
      </c>
      <c r="H9" s="71"/>
    </row>
    <row r="10" spans="1:8" ht="14.25" customHeight="1" x14ac:dyDescent="0.25">
      <c r="A10" s="94">
        <v>4</v>
      </c>
      <c r="B10" s="68" t="s">
        <v>435</v>
      </c>
      <c r="C10" s="69" t="s">
        <v>436</v>
      </c>
      <c r="D10" s="70">
        <v>46164</v>
      </c>
      <c r="E10" s="70">
        <v>46164</v>
      </c>
      <c r="F10" s="68" t="s">
        <v>191</v>
      </c>
      <c r="G10" s="10">
        <v>2</v>
      </c>
      <c r="H10" s="71"/>
    </row>
    <row r="11" spans="1:8" ht="14.25" customHeight="1" x14ac:dyDescent="0.25">
      <c r="A11" s="68">
        <v>5</v>
      </c>
      <c r="B11" s="68" t="s">
        <v>437</v>
      </c>
      <c r="C11" s="72" t="s">
        <v>438</v>
      </c>
      <c r="D11" s="70">
        <v>46164</v>
      </c>
      <c r="E11" s="70">
        <v>46164</v>
      </c>
      <c r="F11" s="68" t="s">
        <v>191</v>
      </c>
      <c r="G11" s="10">
        <v>12</v>
      </c>
      <c r="H11" s="71">
        <f t="shared" ref="H11:H12" si="1">G11/SUM($G$7:$G$12)</f>
        <v>0.3</v>
      </c>
    </row>
    <row r="12" spans="1:8" ht="14.25" customHeight="1" x14ac:dyDescent="0.25">
      <c r="A12" s="94">
        <v>6</v>
      </c>
      <c r="B12" s="68" t="s">
        <v>439</v>
      </c>
      <c r="C12" s="69" t="s">
        <v>440</v>
      </c>
      <c r="D12" s="70">
        <v>46164</v>
      </c>
      <c r="E12" s="70">
        <v>46164</v>
      </c>
      <c r="F12" s="68" t="s">
        <v>191</v>
      </c>
      <c r="G12" s="10">
        <v>15</v>
      </c>
      <c r="H12" s="71">
        <f t="shared" si="1"/>
        <v>0.375</v>
      </c>
    </row>
    <row r="13" spans="1:8" ht="14.25" customHeight="1" x14ac:dyDescent="0.2">
      <c r="A13" s="95" t="s">
        <v>441</v>
      </c>
      <c r="B13" s="73"/>
      <c r="C13" s="73"/>
      <c r="D13" s="70"/>
      <c r="E13" s="70"/>
      <c r="F13" s="10"/>
      <c r="G13" s="10"/>
      <c r="H13" s="74"/>
    </row>
    <row r="14" spans="1:8" ht="14.25" customHeight="1" x14ac:dyDescent="0.25">
      <c r="A14" s="10">
        <v>1</v>
      </c>
      <c r="B14" s="68" t="s">
        <v>439</v>
      </c>
      <c r="C14" s="69" t="s">
        <v>440</v>
      </c>
      <c r="D14" s="70">
        <v>46171</v>
      </c>
      <c r="E14" s="70"/>
      <c r="F14" s="68" t="s">
        <v>191</v>
      </c>
      <c r="G14" s="10">
        <v>17</v>
      </c>
      <c r="H14" s="75">
        <f t="shared" ref="H14:H17" si="2">G14/SUM($G$14:G17)</f>
        <v>0.42499999999999999</v>
      </c>
    </row>
    <row r="15" spans="1:8" ht="14.25" customHeight="1" x14ac:dyDescent="0.25">
      <c r="A15" s="10">
        <v>2</v>
      </c>
      <c r="B15" s="68" t="s">
        <v>435</v>
      </c>
      <c r="C15" s="69" t="s">
        <v>436</v>
      </c>
      <c r="D15" s="70">
        <v>46168</v>
      </c>
      <c r="E15" s="70"/>
      <c r="F15" s="68" t="s">
        <v>191</v>
      </c>
      <c r="G15" s="10">
        <v>7</v>
      </c>
      <c r="H15" s="75">
        <f t="shared" si="2"/>
        <v>0.17499999999999999</v>
      </c>
    </row>
    <row r="16" spans="1:8" ht="14.25" customHeight="1" x14ac:dyDescent="0.25">
      <c r="A16" s="10">
        <v>3</v>
      </c>
      <c r="B16" s="68" t="s">
        <v>437</v>
      </c>
      <c r="C16" s="72" t="s">
        <v>442</v>
      </c>
      <c r="D16" s="70">
        <v>46161</v>
      </c>
      <c r="E16" s="70"/>
      <c r="F16" s="68" t="s">
        <v>191</v>
      </c>
      <c r="G16" s="10">
        <v>8</v>
      </c>
      <c r="H16" s="75">
        <f t="shared" si="2"/>
        <v>0.2</v>
      </c>
    </row>
    <row r="17" spans="1:8" ht="14.25" customHeight="1" x14ac:dyDescent="0.25">
      <c r="A17" s="10">
        <v>4</v>
      </c>
      <c r="B17" s="68" t="s">
        <v>435</v>
      </c>
      <c r="C17" s="36" t="s">
        <v>443</v>
      </c>
      <c r="D17" s="70">
        <v>46171</v>
      </c>
      <c r="E17" s="70"/>
      <c r="F17" s="68" t="s">
        <v>444</v>
      </c>
      <c r="G17" s="10">
        <v>8</v>
      </c>
      <c r="H17" s="75">
        <f t="shared" si="2"/>
        <v>0.2</v>
      </c>
    </row>
    <row r="18" spans="1:8" ht="14.25" customHeight="1" x14ac:dyDescent="0.2">
      <c r="H18" s="76"/>
    </row>
    <row r="19" spans="1:8" ht="14.25" customHeight="1" x14ac:dyDescent="0.2">
      <c r="H19" s="76"/>
    </row>
    <row r="20" spans="1:8" ht="14.25" customHeight="1" x14ac:dyDescent="0.2">
      <c r="H20" s="76"/>
    </row>
    <row r="21" spans="1:8" ht="14.25" customHeight="1" x14ac:dyDescent="0.2">
      <c r="H21" s="76"/>
    </row>
    <row r="22" spans="1:8" ht="14.25" customHeight="1" x14ac:dyDescent="0.2">
      <c r="H22" s="76"/>
    </row>
    <row r="23" spans="1:8" ht="14.25" customHeight="1" x14ac:dyDescent="0.2">
      <c r="H23" s="76"/>
    </row>
    <row r="24" spans="1:8" ht="14.25" customHeight="1" x14ac:dyDescent="0.2">
      <c r="H24" s="76"/>
    </row>
    <row r="25" spans="1:8" ht="14.25" customHeight="1" x14ac:dyDescent="0.2">
      <c r="H25" s="76"/>
    </row>
    <row r="26" spans="1:8" ht="14.25" customHeight="1" x14ac:dyDescent="0.2">
      <c r="H26" s="76"/>
    </row>
    <row r="27" spans="1:8" ht="14.25" customHeight="1" x14ac:dyDescent="0.2">
      <c r="H27" s="76"/>
    </row>
    <row r="28" spans="1:8" ht="14.25" customHeight="1" x14ac:dyDescent="0.2">
      <c r="H28" s="76"/>
    </row>
    <row r="29" spans="1:8" ht="14.25" customHeight="1" x14ac:dyDescent="0.2">
      <c r="H29" s="76"/>
    </row>
    <row r="30" spans="1:8" ht="14.25" customHeight="1" x14ac:dyDescent="0.2">
      <c r="H30" s="76"/>
    </row>
    <row r="31" spans="1:8" ht="14.25" customHeight="1" x14ac:dyDescent="0.2">
      <c r="H31" s="76"/>
    </row>
    <row r="32" spans="1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445</v>
      </c>
      <c r="E2" s="2" t="s">
        <v>446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447</v>
      </c>
      <c r="E3" s="2" t="s">
        <v>448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439</v>
      </c>
      <c r="C7" s="69" t="s">
        <v>440</v>
      </c>
      <c r="D7" s="70">
        <v>46178</v>
      </c>
      <c r="E7" s="70">
        <v>46178</v>
      </c>
      <c r="F7" s="68" t="s">
        <v>191</v>
      </c>
      <c r="G7" s="10">
        <v>19</v>
      </c>
      <c r="H7" s="71">
        <f t="shared" ref="H7:H12" si="0">G7/SUM($G$7:$G$12)</f>
        <v>0.47499999999999998</v>
      </c>
    </row>
    <row r="8" spans="1:8" ht="14.25" customHeight="1" x14ac:dyDescent="0.25">
      <c r="A8" s="94"/>
      <c r="B8" s="68" t="s">
        <v>435</v>
      </c>
      <c r="C8" s="69" t="s">
        <v>449</v>
      </c>
      <c r="D8" s="70">
        <v>46177</v>
      </c>
      <c r="E8" s="70">
        <v>46177</v>
      </c>
      <c r="F8" s="68" t="s">
        <v>18</v>
      </c>
      <c r="G8" s="10">
        <v>1.5</v>
      </c>
      <c r="H8" s="71">
        <f t="shared" si="0"/>
        <v>3.7499999999999999E-2</v>
      </c>
    </row>
    <row r="9" spans="1:8" ht="14.25" customHeight="1" x14ac:dyDescent="0.25">
      <c r="A9" s="94">
        <v>2</v>
      </c>
      <c r="B9" s="68" t="s">
        <v>435</v>
      </c>
      <c r="C9" s="69" t="s">
        <v>450</v>
      </c>
      <c r="D9" s="70">
        <v>46178</v>
      </c>
      <c r="E9" s="70">
        <v>46178</v>
      </c>
      <c r="F9" s="68" t="s">
        <v>191</v>
      </c>
      <c r="G9" s="10">
        <v>6</v>
      </c>
      <c r="H9" s="71">
        <f t="shared" si="0"/>
        <v>0.15</v>
      </c>
    </row>
    <row r="10" spans="1:8" ht="14.25" customHeight="1" x14ac:dyDescent="0.25">
      <c r="A10" s="94"/>
      <c r="B10" s="68" t="s">
        <v>437</v>
      </c>
      <c r="C10" s="69" t="s">
        <v>451</v>
      </c>
      <c r="D10" s="70">
        <v>46175</v>
      </c>
      <c r="E10" s="70">
        <v>46175</v>
      </c>
      <c r="F10" s="68" t="s">
        <v>18</v>
      </c>
      <c r="G10" s="10">
        <v>3</v>
      </c>
      <c r="H10" s="71">
        <f t="shared" si="0"/>
        <v>7.4999999999999997E-2</v>
      </c>
    </row>
    <row r="11" spans="1:8" ht="17.25" customHeight="1" x14ac:dyDescent="0.25">
      <c r="A11" s="68">
        <v>3</v>
      </c>
      <c r="B11" s="68" t="s">
        <v>437</v>
      </c>
      <c r="C11" s="69" t="s">
        <v>452</v>
      </c>
      <c r="D11" s="70">
        <v>46177</v>
      </c>
      <c r="E11" s="70">
        <v>46177</v>
      </c>
      <c r="F11" s="68" t="s">
        <v>18</v>
      </c>
      <c r="G11" s="10">
        <v>10</v>
      </c>
      <c r="H11" s="71">
        <f t="shared" si="0"/>
        <v>0.25</v>
      </c>
    </row>
    <row r="12" spans="1:8" ht="14.25" customHeight="1" x14ac:dyDescent="0.25">
      <c r="A12" s="94">
        <v>5</v>
      </c>
      <c r="B12" s="68" t="s">
        <v>435</v>
      </c>
      <c r="C12" s="69" t="s">
        <v>453</v>
      </c>
      <c r="D12" s="70">
        <v>46170</v>
      </c>
      <c r="E12" s="70">
        <v>46170</v>
      </c>
      <c r="F12" s="68" t="s">
        <v>18</v>
      </c>
      <c r="G12" s="10">
        <v>0.5</v>
      </c>
      <c r="H12" s="71">
        <f t="shared" si="0"/>
        <v>1.2500000000000001E-2</v>
      </c>
    </row>
    <row r="13" spans="1:8" ht="14.25" customHeight="1" x14ac:dyDescent="0.2">
      <c r="A13" s="95" t="s">
        <v>441</v>
      </c>
      <c r="B13" s="73"/>
      <c r="C13" s="73"/>
      <c r="D13" s="70"/>
      <c r="E13" s="70"/>
      <c r="F13" s="10"/>
      <c r="G13" s="10"/>
      <c r="H13" s="74"/>
    </row>
    <row r="14" spans="1:8" ht="14.25" customHeight="1" x14ac:dyDescent="0.25">
      <c r="A14" s="10">
        <v>1</v>
      </c>
      <c r="B14" s="68" t="s">
        <v>439</v>
      </c>
      <c r="C14" s="69" t="s">
        <v>440</v>
      </c>
      <c r="D14" s="70">
        <v>46185</v>
      </c>
      <c r="E14" s="70"/>
      <c r="F14" s="68" t="s">
        <v>191</v>
      </c>
      <c r="G14" s="10">
        <v>16</v>
      </c>
      <c r="H14" s="75">
        <f t="shared" ref="H14:H17" si="1">G14/SUM($G$14:G17)</f>
        <v>0.4</v>
      </c>
    </row>
    <row r="15" spans="1:8" ht="14.25" customHeight="1" x14ac:dyDescent="0.25">
      <c r="A15" s="10">
        <v>2</v>
      </c>
      <c r="B15" s="68" t="s">
        <v>435</v>
      </c>
      <c r="C15" s="69" t="s">
        <v>450</v>
      </c>
      <c r="D15" s="70">
        <v>46183</v>
      </c>
      <c r="E15" s="70"/>
      <c r="F15" s="68" t="s">
        <v>191</v>
      </c>
      <c r="G15" s="10">
        <v>8</v>
      </c>
      <c r="H15" s="75">
        <f t="shared" si="1"/>
        <v>0.2</v>
      </c>
    </row>
    <row r="16" spans="1:8" ht="14.25" customHeight="1" x14ac:dyDescent="0.25">
      <c r="A16" s="10">
        <v>3</v>
      </c>
      <c r="B16" s="68" t="s">
        <v>437</v>
      </c>
      <c r="C16" s="72" t="s">
        <v>454</v>
      </c>
      <c r="D16" s="70">
        <v>46185</v>
      </c>
      <c r="E16" s="70"/>
      <c r="F16" s="68" t="s">
        <v>191</v>
      </c>
      <c r="G16" s="10">
        <v>10</v>
      </c>
      <c r="H16" s="75">
        <f t="shared" si="1"/>
        <v>0.25</v>
      </c>
    </row>
    <row r="17" spans="1:8" ht="14.25" customHeight="1" x14ac:dyDescent="0.25">
      <c r="A17" s="10">
        <v>5</v>
      </c>
      <c r="B17" s="68" t="s">
        <v>435</v>
      </c>
      <c r="C17" s="36" t="s">
        <v>443</v>
      </c>
      <c r="D17" s="70">
        <v>46185</v>
      </c>
      <c r="E17" s="70"/>
      <c r="F17" s="68" t="s">
        <v>191</v>
      </c>
      <c r="G17" s="10">
        <v>6</v>
      </c>
      <c r="H17" s="75">
        <f t="shared" si="1"/>
        <v>0.15</v>
      </c>
    </row>
    <row r="18" spans="1:8" ht="14.25" customHeight="1" x14ac:dyDescent="0.2">
      <c r="H18" s="76"/>
    </row>
    <row r="19" spans="1:8" ht="14.25" customHeight="1" x14ac:dyDescent="0.2">
      <c r="H19" s="76"/>
    </row>
    <row r="20" spans="1:8" ht="14.25" customHeight="1" x14ac:dyDescent="0.2">
      <c r="H20" s="76"/>
    </row>
    <row r="21" spans="1:8" ht="14.25" customHeight="1" x14ac:dyDescent="0.2">
      <c r="H21" s="76"/>
    </row>
    <row r="22" spans="1:8" ht="14.25" customHeight="1" x14ac:dyDescent="0.2">
      <c r="H22" s="76"/>
    </row>
    <row r="23" spans="1:8" ht="14.25" customHeight="1" x14ac:dyDescent="0.2">
      <c r="H23" s="76"/>
    </row>
    <row r="24" spans="1:8" ht="14.25" customHeight="1" x14ac:dyDescent="0.2">
      <c r="H24" s="76"/>
    </row>
    <row r="25" spans="1:8" ht="14.25" customHeight="1" x14ac:dyDescent="0.2">
      <c r="H25" s="76"/>
    </row>
    <row r="26" spans="1:8" ht="14.25" customHeight="1" x14ac:dyDescent="0.2">
      <c r="H26" s="76"/>
    </row>
    <row r="27" spans="1:8" ht="14.25" customHeight="1" x14ac:dyDescent="0.2">
      <c r="H27" s="76"/>
    </row>
    <row r="28" spans="1:8" ht="14.25" customHeight="1" x14ac:dyDescent="0.2">
      <c r="H28" s="76"/>
    </row>
    <row r="29" spans="1:8" ht="14.25" customHeight="1" x14ac:dyDescent="0.2">
      <c r="H29" s="76"/>
    </row>
    <row r="30" spans="1:8" ht="14.25" customHeight="1" x14ac:dyDescent="0.2">
      <c r="H30" s="76"/>
    </row>
    <row r="31" spans="1:8" ht="14.25" customHeight="1" x14ac:dyDescent="0.2">
      <c r="H31" s="76"/>
    </row>
    <row r="32" spans="1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455</v>
      </c>
      <c r="E2" s="2" t="s">
        <v>456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457</v>
      </c>
      <c r="E3" s="2" t="s">
        <v>458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439</v>
      </c>
      <c r="C7" s="69" t="s">
        <v>459</v>
      </c>
      <c r="D7" s="70">
        <v>46206</v>
      </c>
      <c r="E7" s="70">
        <v>46206</v>
      </c>
      <c r="F7" s="68" t="s">
        <v>191</v>
      </c>
      <c r="G7" s="10">
        <v>10</v>
      </c>
      <c r="H7" s="71">
        <f t="shared" ref="H7:H10" si="0">G7/SUM($G$7:$G$10)</f>
        <v>0.27777777777777779</v>
      </c>
    </row>
    <row r="8" spans="1:8" ht="14.25" customHeight="1" x14ac:dyDescent="0.25">
      <c r="A8" s="94">
        <v>2</v>
      </c>
      <c r="B8" s="68" t="s">
        <v>460</v>
      </c>
      <c r="C8" s="69" t="s">
        <v>461</v>
      </c>
      <c r="D8" s="70">
        <v>46206</v>
      </c>
      <c r="E8" s="70">
        <v>46206</v>
      </c>
      <c r="F8" s="68" t="s">
        <v>191</v>
      </c>
      <c r="G8" s="10">
        <v>20</v>
      </c>
      <c r="H8" s="71">
        <f t="shared" si="0"/>
        <v>0.55555555555555558</v>
      </c>
    </row>
    <row r="9" spans="1:8" ht="14.25" customHeight="1" x14ac:dyDescent="0.25">
      <c r="A9" s="68">
        <v>3</v>
      </c>
      <c r="B9" s="68" t="s">
        <v>435</v>
      </c>
      <c r="C9" s="69" t="s">
        <v>462</v>
      </c>
      <c r="D9" s="70">
        <v>46204</v>
      </c>
      <c r="E9" s="70">
        <v>46204</v>
      </c>
      <c r="F9" s="68" t="s">
        <v>191</v>
      </c>
      <c r="G9" s="10">
        <v>4</v>
      </c>
      <c r="H9" s="71">
        <f t="shared" si="0"/>
        <v>0.1111111111111111</v>
      </c>
    </row>
    <row r="10" spans="1:8" ht="14.25" customHeight="1" x14ac:dyDescent="0.25">
      <c r="A10" s="94">
        <v>4</v>
      </c>
      <c r="B10" s="68" t="s">
        <v>437</v>
      </c>
      <c r="C10" s="69" t="s">
        <v>463</v>
      </c>
      <c r="D10" s="70">
        <v>46205</v>
      </c>
      <c r="E10" s="70">
        <v>46205</v>
      </c>
      <c r="F10" s="68" t="s">
        <v>18</v>
      </c>
      <c r="G10" s="10">
        <v>2</v>
      </c>
      <c r="H10" s="71">
        <f t="shared" si="0"/>
        <v>5.5555555555555552E-2</v>
      </c>
    </row>
    <row r="11" spans="1:8" ht="14.25" customHeight="1" x14ac:dyDescent="0.2">
      <c r="A11" s="95" t="s">
        <v>464</v>
      </c>
      <c r="B11" s="73"/>
      <c r="C11" s="73"/>
      <c r="D11" s="70"/>
      <c r="E11" s="70"/>
      <c r="F11" s="10"/>
      <c r="G11" s="10"/>
      <c r="H11" s="74"/>
    </row>
    <row r="12" spans="1:8" ht="14.25" customHeight="1" x14ac:dyDescent="0.25">
      <c r="A12" s="10">
        <v>1</v>
      </c>
      <c r="B12" s="68" t="s">
        <v>439</v>
      </c>
      <c r="C12" s="69" t="s">
        <v>440</v>
      </c>
      <c r="D12" s="70">
        <v>46213</v>
      </c>
      <c r="E12" s="70"/>
      <c r="F12" s="68" t="s">
        <v>191</v>
      </c>
      <c r="G12" s="10">
        <v>8</v>
      </c>
      <c r="H12" s="75">
        <f t="shared" ref="H12:H17" si="1">G12/SUM($G$12:G16)</f>
        <v>0.22222222222222221</v>
      </c>
    </row>
    <row r="13" spans="1:8" ht="14.25" customHeight="1" x14ac:dyDescent="0.25">
      <c r="A13" s="10">
        <v>2</v>
      </c>
      <c r="B13" s="68" t="s">
        <v>435</v>
      </c>
      <c r="C13" s="69" t="s">
        <v>462</v>
      </c>
      <c r="D13" s="70">
        <v>46213</v>
      </c>
      <c r="E13" s="70"/>
      <c r="F13" s="68" t="s">
        <v>191</v>
      </c>
      <c r="G13" s="10">
        <v>8</v>
      </c>
      <c r="H13" s="75">
        <f t="shared" si="1"/>
        <v>0.2</v>
      </c>
    </row>
    <row r="14" spans="1:8" ht="14.25" customHeight="1" x14ac:dyDescent="0.25">
      <c r="A14" s="10">
        <v>3</v>
      </c>
      <c r="B14" s="68" t="s">
        <v>460</v>
      </c>
      <c r="C14" s="69" t="s">
        <v>465</v>
      </c>
      <c r="D14" s="70">
        <v>46211</v>
      </c>
      <c r="E14" s="70"/>
      <c r="F14" s="68" t="s">
        <v>444</v>
      </c>
      <c r="G14" s="10">
        <v>10</v>
      </c>
      <c r="H14" s="75">
        <f t="shared" si="1"/>
        <v>0.25</v>
      </c>
    </row>
    <row r="15" spans="1:8" ht="14.25" customHeight="1" x14ac:dyDescent="0.25">
      <c r="A15" s="10">
        <v>4</v>
      </c>
      <c r="B15" s="68" t="s">
        <v>460</v>
      </c>
      <c r="C15" s="69" t="s">
        <v>461</v>
      </c>
      <c r="D15" s="70">
        <v>46209</v>
      </c>
      <c r="E15" s="70"/>
      <c r="F15" s="68" t="s">
        <v>191</v>
      </c>
      <c r="G15" s="10">
        <v>6</v>
      </c>
      <c r="H15" s="75">
        <f t="shared" si="1"/>
        <v>0.15</v>
      </c>
    </row>
    <row r="16" spans="1:8" ht="14.25" customHeight="1" x14ac:dyDescent="0.25">
      <c r="A16" s="10">
        <v>5</v>
      </c>
      <c r="B16" s="68" t="s">
        <v>435</v>
      </c>
      <c r="C16" s="36" t="s">
        <v>443</v>
      </c>
      <c r="D16" s="70">
        <v>46213</v>
      </c>
      <c r="E16" s="70"/>
      <c r="F16" s="68" t="s">
        <v>191</v>
      </c>
      <c r="G16" s="10">
        <v>4</v>
      </c>
      <c r="H16" s="75">
        <f t="shared" si="1"/>
        <v>0.1</v>
      </c>
    </row>
    <row r="17" spans="1:8" ht="14.25" customHeight="1" x14ac:dyDescent="0.25">
      <c r="A17" s="10">
        <v>6</v>
      </c>
      <c r="B17" s="68" t="s">
        <v>437</v>
      </c>
      <c r="C17" s="69" t="s">
        <v>466</v>
      </c>
      <c r="D17" s="70">
        <v>46213</v>
      </c>
      <c r="E17" s="70"/>
      <c r="F17" s="68" t="s">
        <v>191</v>
      </c>
      <c r="G17" s="10">
        <v>4</v>
      </c>
      <c r="H17" s="75">
        <f t="shared" si="1"/>
        <v>0.1</v>
      </c>
    </row>
    <row r="18" spans="1:8" ht="14.25" customHeight="1" x14ac:dyDescent="0.2">
      <c r="H18" s="76"/>
    </row>
    <row r="19" spans="1:8" ht="14.25" customHeight="1" x14ac:dyDescent="0.2">
      <c r="H19" s="76"/>
    </row>
    <row r="20" spans="1:8" ht="14.25" customHeight="1" x14ac:dyDescent="0.2">
      <c r="H20" s="76"/>
    </row>
    <row r="21" spans="1:8" ht="14.25" customHeight="1" x14ac:dyDescent="0.2">
      <c r="H21" s="76"/>
    </row>
    <row r="22" spans="1:8" ht="14.25" customHeight="1" x14ac:dyDescent="0.2">
      <c r="H22" s="76"/>
    </row>
    <row r="23" spans="1:8" ht="14.25" customHeight="1" x14ac:dyDescent="0.2">
      <c r="H23" s="76"/>
    </row>
    <row r="24" spans="1:8" ht="14.25" customHeight="1" x14ac:dyDescent="0.2">
      <c r="H24" s="76"/>
    </row>
    <row r="25" spans="1:8" ht="14.25" customHeight="1" x14ac:dyDescent="0.2">
      <c r="H25" s="76"/>
    </row>
    <row r="26" spans="1:8" ht="14.25" customHeight="1" x14ac:dyDescent="0.2">
      <c r="H26" s="76"/>
    </row>
    <row r="27" spans="1:8" ht="14.25" customHeight="1" x14ac:dyDescent="0.2">
      <c r="H27" s="76"/>
    </row>
    <row r="28" spans="1:8" ht="14.25" customHeight="1" x14ac:dyDescent="0.2">
      <c r="H28" s="76"/>
    </row>
    <row r="29" spans="1:8" ht="14.25" customHeight="1" x14ac:dyDescent="0.2">
      <c r="H29" s="76"/>
    </row>
    <row r="30" spans="1:8" ht="14.25" customHeight="1" x14ac:dyDescent="0.2">
      <c r="H30" s="76"/>
    </row>
    <row r="31" spans="1:8" ht="14.25" customHeight="1" x14ac:dyDescent="0.2">
      <c r="H31" s="76"/>
    </row>
    <row r="32" spans="1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Z998"/>
  <sheetViews>
    <sheetView tabSelected="1" workbookViewId="0">
      <selection activeCell="G24" sqref="G24"/>
    </sheetView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20.25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543</v>
      </c>
      <c r="E2" s="2" t="s">
        <v>544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546</v>
      </c>
      <c r="E3" s="2" t="s">
        <v>547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31.5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5.75" x14ac:dyDescent="0.25">
      <c r="A7" s="10">
        <v>1</v>
      </c>
      <c r="B7" s="68" t="s">
        <v>439</v>
      </c>
      <c r="C7" s="77" t="s">
        <v>459</v>
      </c>
      <c r="D7" s="98">
        <v>46304</v>
      </c>
      <c r="E7" s="98">
        <v>46304</v>
      </c>
      <c r="F7" s="68" t="s">
        <v>191</v>
      </c>
      <c r="G7" s="10">
        <v>7</v>
      </c>
      <c r="H7" s="71">
        <f>G7/SUM($G$7:$G$12)</f>
        <v>0.17499999999999999</v>
      </c>
    </row>
    <row r="8" spans="1:8" ht="31.5" x14ac:dyDescent="0.25">
      <c r="A8" s="10">
        <v>2</v>
      </c>
      <c r="B8" s="68" t="s">
        <v>435</v>
      </c>
      <c r="C8" s="99" t="s">
        <v>549</v>
      </c>
      <c r="D8" s="98">
        <v>46302</v>
      </c>
      <c r="E8" s="98">
        <v>46302</v>
      </c>
      <c r="F8" s="123" t="s">
        <v>18</v>
      </c>
      <c r="G8" s="10">
        <v>11</v>
      </c>
      <c r="H8" s="71">
        <f>G8/SUM($G$7:$G$12)</f>
        <v>0.27500000000000002</v>
      </c>
    </row>
    <row r="9" spans="1:8" ht="15.75" x14ac:dyDescent="0.25">
      <c r="A9" s="10">
        <v>3</v>
      </c>
      <c r="B9" s="68" t="s">
        <v>435</v>
      </c>
      <c r="C9" s="99" t="s">
        <v>550</v>
      </c>
      <c r="D9" s="98">
        <v>46304</v>
      </c>
      <c r="E9" s="98">
        <v>46304</v>
      </c>
      <c r="F9" s="68" t="s">
        <v>191</v>
      </c>
      <c r="G9" s="10">
        <v>3</v>
      </c>
      <c r="H9" s="71">
        <f>G9/SUM($G$7:$G$12)</f>
        <v>7.4999999999999997E-2</v>
      </c>
    </row>
    <row r="10" spans="1:8" ht="15.75" x14ac:dyDescent="0.25">
      <c r="A10" s="10">
        <v>4</v>
      </c>
      <c r="B10" s="68" t="s">
        <v>435</v>
      </c>
      <c r="C10" s="99" t="s">
        <v>551</v>
      </c>
      <c r="D10" s="98">
        <v>46304</v>
      </c>
      <c r="E10" s="98">
        <v>46304</v>
      </c>
      <c r="F10" s="68" t="s">
        <v>18</v>
      </c>
      <c r="G10" s="10">
        <v>14</v>
      </c>
      <c r="H10" s="71">
        <f>G10/SUM($G$7:$G$12)</f>
        <v>0.35</v>
      </c>
    </row>
    <row r="11" spans="1:8" ht="15.75" x14ac:dyDescent="0.25">
      <c r="A11" s="10">
        <v>5</v>
      </c>
      <c r="B11" s="68" t="s">
        <v>435</v>
      </c>
      <c r="C11" s="99" t="s">
        <v>552</v>
      </c>
      <c r="D11" s="98">
        <v>46304</v>
      </c>
      <c r="E11" s="98">
        <v>46304</v>
      </c>
      <c r="F11" s="68" t="s">
        <v>18</v>
      </c>
      <c r="G11" s="10">
        <v>3</v>
      </c>
      <c r="H11" s="71">
        <f>G11/SUM($G$7:$G$12)</f>
        <v>7.4999999999999997E-2</v>
      </c>
    </row>
    <row r="12" spans="1:8" ht="15.75" x14ac:dyDescent="0.25">
      <c r="A12" s="10">
        <v>6</v>
      </c>
      <c r="B12" s="68" t="s">
        <v>437</v>
      </c>
      <c r="C12" s="99" t="s">
        <v>545</v>
      </c>
      <c r="D12" s="98">
        <v>46302</v>
      </c>
      <c r="E12" s="98">
        <v>46302</v>
      </c>
      <c r="F12" s="68" t="s">
        <v>18</v>
      </c>
      <c r="G12" s="10">
        <v>2</v>
      </c>
      <c r="H12" s="71">
        <f>G12/SUM($G$7:$G$12)</f>
        <v>0.05</v>
      </c>
    </row>
    <row r="13" spans="1:8" ht="14.25" customHeight="1" x14ac:dyDescent="0.2">
      <c r="A13" s="100" t="s">
        <v>548</v>
      </c>
      <c r="B13" s="79"/>
      <c r="C13" s="79"/>
      <c r="D13" s="98"/>
      <c r="E13" s="78"/>
      <c r="F13" s="10"/>
      <c r="G13" s="10"/>
      <c r="H13" s="74"/>
    </row>
    <row r="14" spans="1:8" ht="14.25" customHeight="1" x14ac:dyDescent="0.25">
      <c r="A14" s="10">
        <v>1</v>
      </c>
      <c r="B14" s="68" t="s">
        <v>439</v>
      </c>
      <c r="C14" s="124" t="s">
        <v>553</v>
      </c>
      <c r="D14" s="98">
        <v>46311</v>
      </c>
      <c r="E14" s="78"/>
      <c r="F14" s="68" t="s">
        <v>191</v>
      </c>
      <c r="G14" s="10">
        <v>5</v>
      </c>
      <c r="H14" s="75">
        <f>G14/SUM($G$14:$G$16)</f>
        <v>0.2</v>
      </c>
    </row>
    <row r="15" spans="1:8" ht="15.75" x14ac:dyDescent="0.2">
      <c r="A15" s="10">
        <v>2</v>
      </c>
      <c r="B15" s="68" t="s">
        <v>435</v>
      </c>
      <c r="C15" s="101" t="s">
        <v>554</v>
      </c>
      <c r="D15" s="98">
        <v>46309</v>
      </c>
      <c r="E15" s="78"/>
      <c r="F15" s="68" t="s">
        <v>191</v>
      </c>
      <c r="G15" s="10">
        <v>16</v>
      </c>
      <c r="H15" s="75">
        <f t="shared" ref="H15:H19" si="0">G15/SUM($G$14:$G$16)</f>
        <v>0.64</v>
      </c>
    </row>
    <row r="16" spans="1:8" ht="14.25" customHeight="1" x14ac:dyDescent="0.25">
      <c r="A16" s="10">
        <v>3</v>
      </c>
      <c r="B16" s="68" t="s">
        <v>435</v>
      </c>
      <c r="C16" s="99" t="s">
        <v>555</v>
      </c>
      <c r="D16" s="98">
        <v>46310</v>
      </c>
      <c r="E16" s="78"/>
      <c r="F16" s="68" t="s">
        <v>444</v>
      </c>
      <c r="G16" s="10">
        <v>4</v>
      </c>
      <c r="H16" s="75">
        <f t="shared" si="0"/>
        <v>0.16</v>
      </c>
    </row>
    <row r="17" spans="1:26" ht="14.25" customHeight="1" x14ac:dyDescent="0.25">
      <c r="A17" s="10">
        <v>4</v>
      </c>
      <c r="B17" s="68" t="s">
        <v>435</v>
      </c>
      <c r="C17" s="99" t="s">
        <v>557</v>
      </c>
      <c r="D17" s="98">
        <v>46311</v>
      </c>
      <c r="E17" s="78"/>
      <c r="F17" s="68" t="s">
        <v>191</v>
      </c>
      <c r="G17" s="10">
        <v>5</v>
      </c>
      <c r="H17" s="75">
        <f t="shared" si="0"/>
        <v>0.2</v>
      </c>
    </row>
    <row r="18" spans="1:26" ht="14.25" customHeight="1" x14ac:dyDescent="0.25">
      <c r="A18" s="10">
        <v>5</v>
      </c>
      <c r="B18" s="68" t="s">
        <v>435</v>
      </c>
      <c r="C18" s="77" t="s">
        <v>467</v>
      </c>
      <c r="D18" s="98">
        <v>46310</v>
      </c>
      <c r="E18" s="78"/>
      <c r="F18" s="68" t="s">
        <v>444</v>
      </c>
      <c r="G18" s="10">
        <v>6</v>
      </c>
      <c r="H18" s="75">
        <f t="shared" si="0"/>
        <v>0.24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 x14ac:dyDescent="0.25">
      <c r="A19" s="10">
        <v>6</v>
      </c>
      <c r="B19" s="123" t="s">
        <v>437</v>
      </c>
      <c r="C19" s="99" t="s">
        <v>556</v>
      </c>
      <c r="D19" s="102">
        <v>46307</v>
      </c>
      <c r="E19" s="78"/>
      <c r="F19" s="68" t="s">
        <v>444</v>
      </c>
      <c r="G19" s="10">
        <v>4</v>
      </c>
      <c r="H19" s="75">
        <f t="shared" si="0"/>
        <v>0.16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 x14ac:dyDescent="0.2">
      <c r="H20" s="76"/>
    </row>
    <row r="21" spans="1:26" ht="14.25" customHeight="1" x14ac:dyDescent="0.2">
      <c r="H21" s="76"/>
    </row>
    <row r="22" spans="1:26" ht="14.25" customHeight="1" x14ac:dyDescent="0.2">
      <c r="H22" s="76"/>
    </row>
    <row r="23" spans="1:26" ht="14.25" customHeight="1" x14ac:dyDescent="0.2">
      <c r="H23" s="76"/>
    </row>
    <row r="24" spans="1:26" ht="14.25" customHeight="1" x14ac:dyDescent="0.2">
      <c r="H24" s="76"/>
    </row>
    <row r="25" spans="1:26" ht="14.25" customHeight="1" x14ac:dyDescent="0.2">
      <c r="H25" s="76"/>
    </row>
    <row r="26" spans="1:26" ht="14.25" customHeight="1" x14ac:dyDescent="0.2">
      <c r="H26" s="76"/>
    </row>
    <row r="27" spans="1:26" ht="14.25" customHeight="1" x14ac:dyDescent="0.2">
      <c r="H27" s="76"/>
    </row>
    <row r="28" spans="1:26" ht="14.25" customHeight="1" x14ac:dyDescent="0.2">
      <c r="H28" s="76"/>
    </row>
    <row r="29" spans="1:26" ht="14.25" customHeight="1" x14ac:dyDescent="0.2">
      <c r="H29" s="76"/>
    </row>
    <row r="30" spans="1:26" ht="14.25" customHeight="1" x14ac:dyDescent="0.2">
      <c r="H30" s="76"/>
    </row>
    <row r="31" spans="1:26" ht="14.25" customHeight="1" x14ac:dyDescent="0.2">
      <c r="H31" s="76"/>
    </row>
    <row r="32" spans="1:26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5.75" customHeight="1" x14ac:dyDescent="0.2"/>
    <row r="220" spans="8:8" ht="15.75" customHeight="1" x14ac:dyDescent="0.2"/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">
    <mergeCell ref="A1:F1"/>
  </mergeCells>
  <pageMargins left="0.7" right="0.7" top="0.75" bottom="0.75" header="0" footer="0"/>
  <pageSetup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468</v>
      </c>
      <c r="E2" s="2" t="s">
        <v>469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470</v>
      </c>
      <c r="E3" s="2" t="s">
        <v>471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435</v>
      </c>
      <c r="C7" s="69" t="s">
        <v>472</v>
      </c>
      <c r="D7" s="70">
        <v>46105</v>
      </c>
      <c r="E7" s="70">
        <v>46104</v>
      </c>
      <c r="F7" s="10" t="s">
        <v>18</v>
      </c>
      <c r="G7" s="10">
        <v>8</v>
      </c>
      <c r="H7" s="71">
        <f t="shared" ref="H7:H13" si="0">G7/SUM($G$7:$G$13)</f>
        <v>0.2</v>
      </c>
    </row>
    <row r="8" spans="1:8" ht="14.25" customHeight="1" x14ac:dyDescent="0.25">
      <c r="A8" s="94">
        <v>2</v>
      </c>
      <c r="B8" s="68" t="s">
        <v>435</v>
      </c>
      <c r="C8" s="69" t="s">
        <v>473</v>
      </c>
      <c r="D8" s="70">
        <v>46106</v>
      </c>
      <c r="E8" s="70">
        <v>46106</v>
      </c>
      <c r="F8" s="94" t="s">
        <v>191</v>
      </c>
      <c r="G8" s="10">
        <v>4</v>
      </c>
      <c r="H8" s="71">
        <f t="shared" si="0"/>
        <v>0.1</v>
      </c>
    </row>
    <row r="9" spans="1:8" ht="14.25" customHeight="1" x14ac:dyDescent="0.25">
      <c r="A9" s="68">
        <v>3</v>
      </c>
      <c r="B9" s="68" t="s">
        <v>435</v>
      </c>
      <c r="C9" s="69" t="s">
        <v>474</v>
      </c>
      <c r="D9" s="70">
        <v>46105</v>
      </c>
      <c r="E9" s="70">
        <v>46105</v>
      </c>
      <c r="F9" s="10" t="s">
        <v>18</v>
      </c>
      <c r="G9" s="10">
        <v>8</v>
      </c>
      <c r="H9" s="71">
        <f t="shared" si="0"/>
        <v>0.2</v>
      </c>
    </row>
    <row r="10" spans="1:8" ht="18" customHeight="1" x14ac:dyDescent="0.25">
      <c r="A10" s="68">
        <v>4</v>
      </c>
      <c r="B10" s="68" t="s">
        <v>435</v>
      </c>
      <c r="C10" s="69" t="s">
        <v>475</v>
      </c>
      <c r="D10" s="70">
        <v>46108</v>
      </c>
      <c r="E10" s="70">
        <v>46108</v>
      </c>
      <c r="F10" s="10" t="s">
        <v>18</v>
      </c>
      <c r="G10" s="10">
        <v>2</v>
      </c>
      <c r="H10" s="71">
        <f t="shared" si="0"/>
        <v>0.05</v>
      </c>
    </row>
    <row r="11" spans="1:8" ht="14.25" customHeight="1" x14ac:dyDescent="0.25">
      <c r="A11" s="94">
        <v>5</v>
      </c>
      <c r="B11" s="68" t="s">
        <v>439</v>
      </c>
      <c r="C11" s="69" t="s">
        <v>476</v>
      </c>
      <c r="D11" s="70">
        <v>46107</v>
      </c>
      <c r="E11" s="70">
        <v>46108</v>
      </c>
      <c r="F11" s="10" t="s">
        <v>18</v>
      </c>
      <c r="G11" s="10">
        <v>15</v>
      </c>
      <c r="H11" s="71">
        <f t="shared" si="0"/>
        <v>0.375</v>
      </c>
    </row>
    <row r="12" spans="1:8" ht="14.25" customHeight="1" x14ac:dyDescent="0.25">
      <c r="A12" s="68">
        <v>6</v>
      </c>
      <c r="B12" s="68" t="s">
        <v>439</v>
      </c>
      <c r="C12" s="69" t="s">
        <v>477</v>
      </c>
      <c r="D12" s="70">
        <v>46108</v>
      </c>
      <c r="E12" s="70">
        <v>46108</v>
      </c>
      <c r="F12" s="94" t="s">
        <v>191</v>
      </c>
      <c r="G12" s="10">
        <v>2</v>
      </c>
      <c r="H12" s="71">
        <f t="shared" si="0"/>
        <v>0.05</v>
      </c>
    </row>
    <row r="13" spans="1:8" ht="14.25" customHeight="1" x14ac:dyDescent="0.25">
      <c r="A13" s="68">
        <v>7</v>
      </c>
      <c r="B13" s="68" t="s">
        <v>437</v>
      </c>
      <c r="C13" s="69" t="s">
        <v>478</v>
      </c>
      <c r="D13" s="70">
        <v>46108</v>
      </c>
      <c r="E13" s="70">
        <v>46108</v>
      </c>
      <c r="F13" s="10" t="s">
        <v>18</v>
      </c>
      <c r="G13" s="10">
        <v>1</v>
      </c>
      <c r="H13" s="71">
        <f t="shared" si="0"/>
        <v>2.5000000000000001E-2</v>
      </c>
    </row>
    <row r="14" spans="1:8" ht="14.25" customHeight="1" x14ac:dyDescent="0.2">
      <c r="A14" s="95" t="s">
        <v>479</v>
      </c>
      <c r="B14" s="73"/>
      <c r="C14" s="73"/>
      <c r="D14" s="70"/>
      <c r="E14" s="70"/>
      <c r="F14" s="10"/>
      <c r="G14" s="10"/>
      <c r="H14" s="74"/>
    </row>
    <row r="15" spans="1:8" ht="14.25" customHeight="1" x14ac:dyDescent="0.25">
      <c r="A15" s="10">
        <v>1</v>
      </c>
      <c r="B15" s="68" t="s">
        <v>439</v>
      </c>
      <c r="C15" s="69" t="s">
        <v>477</v>
      </c>
      <c r="D15" s="70">
        <v>46115</v>
      </c>
      <c r="E15" s="70"/>
      <c r="F15" s="94" t="s">
        <v>191</v>
      </c>
      <c r="G15" s="10">
        <v>10</v>
      </c>
      <c r="H15" s="75">
        <f t="shared" ref="H15:H19" si="1">G15/SUM($G$15:G19)</f>
        <v>0.25</v>
      </c>
    </row>
    <row r="16" spans="1:8" ht="14.25" customHeight="1" x14ac:dyDescent="0.25">
      <c r="A16" s="10">
        <v>2</v>
      </c>
      <c r="B16" s="68" t="s">
        <v>435</v>
      </c>
      <c r="C16" s="69" t="s">
        <v>480</v>
      </c>
      <c r="D16" s="70">
        <v>46115</v>
      </c>
      <c r="E16" s="70"/>
      <c r="F16" s="94" t="s">
        <v>191</v>
      </c>
      <c r="G16" s="10">
        <v>8</v>
      </c>
      <c r="H16" s="75">
        <f t="shared" si="1"/>
        <v>0.2</v>
      </c>
    </row>
    <row r="17" spans="1:8" ht="14.25" customHeight="1" x14ac:dyDescent="0.25">
      <c r="A17" s="96">
        <v>3</v>
      </c>
      <c r="B17" s="68" t="s">
        <v>435</v>
      </c>
      <c r="C17" s="69" t="s">
        <v>473</v>
      </c>
      <c r="D17" s="70">
        <v>46115</v>
      </c>
      <c r="E17" s="70"/>
      <c r="F17" s="94" t="s">
        <v>191</v>
      </c>
      <c r="G17" s="10">
        <v>8</v>
      </c>
      <c r="H17" s="75">
        <f t="shared" si="1"/>
        <v>0.2</v>
      </c>
    </row>
    <row r="18" spans="1:8" ht="14.25" customHeight="1" x14ac:dyDescent="0.25">
      <c r="A18" s="96">
        <v>4</v>
      </c>
      <c r="B18" s="68" t="s">
        <v>435</v>
      </c>
      <c r="C18" s="69" t="s">
        <v>481</v>
      </c>
      <c r="D18" s="70">
        <v>46115</v>
      </c>
      <c r="E18" s="70"/>
      <c r="F18" s="94" t="s">
        <v>482</v>
      </c>
      <c r="G18" s="10">
        <v>2</v>
      </c>
      <c r="H18" s="75">
        <f t="shared" si="1"/>
        <v>0.05</v>
      </c>
    </row>
    <row r="19" spans="1:8" ht="14.25" customHeight="1" x14ac:dyDescent="0.25">
      <c r="A19" s="96">
        <v>5</v>
      </c>
      <c r="B19" s="68" t="s">
        <v>435</v>
      </c>
      <c r="C19" s="69" t="s">
        <v>483</v>
      </c>
      <c r="D19" s="70">
        <v>46115</v>
      </c>
      <c r="E19" s="70"/>
      <c r="F19" s="68" t="s">
        <v>482</v>
      </c>
      <c r="G19" s="10">
        <v>12</v>
      </c>
      <c r="H19" s="75">
        <f t="shared" si="1"/>
        <v>0.3</v>
      </c>
    </row>
    <row r="20" spans="1:8" ht="14.25" customHeight="1" x14ac:dyDescent="0.2">
      <c r="H20" s="76"/>
    </row>
    <row r="21" spans="1:8" ht="14.25" customHeight="1" x14ac:dyDescent="0.2">
      <c r="H21" s="76"/>
    </row>
    <row r="22" spans="1:8" ht="14.25" customHeight="1" x14ac:dyDescent="0.2">
      <c r="H22" s="76"/>
    </row>
    <row r="23" spans="1:8" ht="14.25" customHeight="1" x14ac:dyDescent="0.2">
      <c r="H23" s="76"/>
    </row>
    <row r="24" spans="1:8" ht="14.25" customHeight="1" x14ac:dyDescent="0.2">
      <c r="H24" s="76"/>
    </row>
    <row r="25" spans="1:8" ht="14.25" customHeight="1" x14ac:dyDescent="0.2">
      <c r="B25" s="2"/>
      <c r="H25" s="76"/>
    </row>
    <row r="26" spans="1:8" ht="14.25" customHeight="1" x14ac:dyDescent="0.2">
      <c r="H26" s="76"/>
    </row>
    <row r="27" spans="1:8" ht="14.25" customHeight="1" x14ac:dyDescent="0.2">
      <c r="H27" s="76"/>
    </row>
    <row r="28" spans="1:8" ht="14.25" customHeight="1" x14ac:dyDescent="0.2">
      <c r="H28" s="76"/>
    </row>
    <row r="29" spans="1:8" ht="14.25" customHeight="1" x14ac:dyDescent="0.2">
      <c r="H29" s="76"/>
    </row>
    <row r="30" spans="1:8" ht="14.25" customHeight="1" x14ac:dyDescent="0.2">
      <c r="H30" s="76"/>
    </row>
    <row r="31" spans="1:8" ht="14.25" customHeight="1" x14ac:dyDescent="0.2">
      <c r="H31" s="76"/>
    </row>
    <row r="32" spans="1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484</v>
      </c>
      <c r="E2" s="2" t="s">
        <v>485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486</v>
      </c>
      <c r="E3" s="2" t="s">
        <v>487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435</v>
      </c>
      <c r="C7" s="69" t="s">
        <v>488</v>
      </c>
      <c r="D7" s="70">
        <v>46092</v>
      </c>
      <c r="E7" s="70">
        <v>46092</v>
      </c>
      <c r="F7" s="10" t="s">
        <v>18</v>
      </c>
      <c r="G7" s="10">
        <v>20</v>
      </c>
      <c r="H7" s="71">
        <f t="shared" ref="H7:H11" si="0">G7/SUM($G$7:$G$11)</f>
        <v>0.5</v>
      </c>
    </row>
    <row r="8" spans="1:8" ht="14.25" customHeight="1" x14ac:dyDescent="0.25">
      <c r="A8" s="94">
        <v>2</v>
      </c>
      <c r="B8" s="68" t="s">
        <v>437</v>
      </c>
      <c r="C8" s="69" t="s">
        <v>489</v>
      </c>
      <c r="D8" s="70">
        <v>46092</v>
      </c>
      <c r="E8" s="70">
        <v>46092</v>
      </c>
      <c r="F8" s="10" t="s">
        <v>18</v>
      </c>
      <c r="G8" s="10">
        <v>4</v>
      </c>
      <c r="H8" s="71">
        <f t="shared" si="0"/>
        <v>0.1</v>
      </c>
    </row>
    <row r="9" spans="1:8" ht="14.25" customHeight="1" x14ac:dyDescent="0.25">
      <c r="A9" s="68">
        <v>3</v>
      </c>
      <c r="B9" s="68" t="s">
        <v>437</v>
      </c>
      <c r="C9" s="69" t="s">
        <v>490</v>
      </c>
      <c r="D9" s="70">
        <v>46093</v>
      </c>
      <c r="E9" s="70">
        <v>46093</v>
      </c>
      <c r="F9" s="10" t="s">
        <v>18</v>
      </c>
      <c r="G9" s="10">
        <v>4</v>
      </c>
      <c r="H9" s="71">
        <f t="shared" si="0"/>
        <v>0.1</v>
      </c>
    </row>
    <row r="10" spans="1:8" ht="14.25" customHeight="1" x14ac:dyDescent="0.25">
      <c r="A10" s="94">
        <v>4</v>
      </c>
      <c r="B10" s="68" t="s">
        <v>437</v>
      </c>
      <c r="C10" s="69" t="s">
        <v>491</v>
      </c>
      <c r="D10" s="70">
        <v>46094</v>
      </c>
      <c r="E10" s="70">
        <v>46094</v>
      </c>
      <c r="F10" s="10" t="s">
        <v>18</v>
      </c>
      <c r="G10" s="10">
        <v>10</v>
      </c>
      <c r="H10" s="71">
        <f t="shared" si="0"/>
        <v>0.25</v>
      </c>
    </row>
    <row r="11" spans="1:8" ht="14.25" customHeight="1" x14ac:dyDescent="0.25">
      <c r="A11" s="94">
        <v>5</v>
      </c>
      <c r="B11" s="68" t="s">
        <v>435</v>
      </c>
      <c r="C11" s="80" t="s">
        <v>492</v>
      </c>
      <c r="D11" s="70">
        <v>46094</v>
      </c>
      <c r="E11" s="70">
        <v>46094</v>
      </c>
      <c r="F11" s="94" t="s">
        <v>191</v>
      </c>
      <c r="G11" s="10">
        <v>2</v>
      </c>
      <c r="H11" s="71">
        <f t="shared" si="0"/>
        <v>0.05</v>
      </c>
    </row>
    <row r="12" spans="1:8" ht="14.25" customHeight="1" x14ac:dyDescent="0.2">
      <c r="A12" s="95" t="s">
        <v>493</v>
      </c>
      <c r="B12" s="73"/>
      <c r="C12" s="73"/>
      <c r="D12" s="70"/>
      <c r="E12" s="70"/>
      <c r="F12" s="10"/>
      <c r="G12" s="10"/>
      <c r="H12" s="74"/>
    </row>
    <row r="13" spans="1:8" ht="14.25" customHeight="1" x14ac:dyDescent="0.25">
      <c r="A13" s="10">
        <v>1</v>
      </c>
      <c r="B13" s="68" t="s">
        <v>435</v>
      </c>
      <c r="C13" s="69" t="s">
        <v>494</v>
      </c>
      <c r="D13" s="70">
        <v>46101</v>
      </c>
      <c r="E13" s="70"/>
      <c r="F13" s="94" t="s">
        <v>191</v>
      </c>
      <c r="G13" s="10">
        <v>20</v>
      </c>
      <c r="H13" s="75">
        <f>G13/SUM($G$13:G15)</f>
        <v>0.5</v>
      </c>
    </row>
    <row r="14" spans="1:8" ht="14.25" customHeight="1" x14ac:dyDescent="0.25">
      <c r="A14" s="10">
        <v>2</v>
      </c>
      <c r="B14" s="68" t="s">
        <v>435</v>
      </c>
      <c r="C14" s="69" t="s">
        <v>495</v>
      </c>
      <c r="D14" s="70">
        <v>46101</v>
      </c>
      <c r="E14" s="70"/>
      <c r="F14" s="94" t="s">
        <v>191</v>
      </c>
      <c r="G14" s="10">
        <v>8</v>
      </c>
      <c r="H14" s="75">
        <f>G14/SUM($G$13:G15)</f>
        <v>0.2</v>
      </c>
    </row>
    <row r="15" spans="1:8" ht="14.25" customHeight="1" x14ac:dyDescent="0.25">
      <c r="A15" s="96">
        <v>3</v>
      </c>
      <c r="B15" s="68" t="s">
        <v>435</v>
      </c>
      <c r="C15" s="69" t="s">
        <v>473</v>
      </c>
      <c r="D15" s="70">
        <v>46101</v>
      </c>
      <c r="E15" s="70"/>
      <c r="F15" s="68" t="s">
        <v>482</v>
      </c>
      <c r="G15" s="10">
        <v>12</v>
      </c>
      <c r="H15" s="75">
        <f>G15/SUM($G$13:G15)</f>
        <v>0.3</v>
      </c>
    </row>
    <row r="16" spans="1:8" ht="14.25" customHeight="1" x14ac:dyDescent="0.2"/>
    <row r="17" spans="2:8" ht="14.25" customHeight="1" x14ac:dyDescent="0.2">
      <c r="H17" s="76"/>
    </row>
    <row r="18" spans="2:8" ht="14.25" customHeight="1" x14ac:dyDescent="0.2">
      <c r="H18" s="76"/>
    </row>
    <row r="19" spans="2:8" ht="14.25" customHeight="1" x14ac:dyDescent="0.2">
      <c r="H19" s="76"/>
    </row>
    <row r="20" spans="2:8" ht="14.25" customHeight="1" x14ac:dyDescent="0.2">
      <c r="H20" s="76"/>
    </row>
    <row r="21" spans="2:8" ht="14.25" customHeight="1" x14ac:dyDescent="0.2">
      <c r="H21" s="76"/>
    </row>
    <row r="22" spans="2:8" ht="14.25" customHeight="1" x14ac:dyDescent="0.2">
      <c r="H22" s="76"/>
    </row>
    <row r="23" spans="2:8" ht="14.25" customHeight="1" x14ac:dyDescent="0.2">
      <c r="B23" s="2"/>
      <c r="H23" s="76"/>
    </row>
    <row r="24" spans="2:8" ht="14.25" customHeight="1" x14ac:dyDescent="0.2">
      <c r="H24" s="76"/>
    </row>
    <row r="25" spans="2:8" ht="14.25" customHeight="1" x14ac:dyDescent="0.2">
      <c r="H25" s="76"/>
    </row>
    <row r="26" spans="2:8" ht="14.25" customHeight="1" x14ac:dyDescent="0.2">
      <c r="H26" s="76"/>
    </row>
    <row r="27" spans="2:8" ht="14.25" customHeight="1" x14ac:dyDescent="0.2">
      <c r="H27" s="76"/>
    </row>
    <row r="28" spans="2:8" ht="14.25" customHeight="1" x14ac:dyDescent="0.2">
      <c r="H28" s="76"/>
    </row>
    <row r="29" spans="2:8" ht="14.25" customHeight="1" x14ac:dyDescent="0.2">
      <c r="H29" s="76"/>
    </row>
    <row r="30" spans="2:8" ht="14.25" customHeight="1" x14ac:dyDescent="0.2">
      <c r="H30" s="76"/>
    </row>
    <row r="31" spans="2:8" ht="14.25" customHeight="1" x14ac:dyDescent="0.2">
      <c r="H31" s="76"/>
    </row>
    <row r="32" spans="2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496</v>
      </c>
      <c r="E2" s="2" t="s">
        <v>497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498</v>
      </c>
      <c r="E3" s="2" t="s">
        <v>499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435</v>
      </c>
      <c r="C7" s="69" t="s">
        <v>500</v>
      </c>
      <c r="D7" s="70">
        <v>46078</v>
      </c>
      <c r="E7" s="70">
        <v>46078</v>
      </c>
      <c r="F7" s="10" t="s">
        <v>18</v>
      </c>
      <c r="G7" s="10">
        <v>2</v>
      </c>
      <c r="H7" s="71">
        <f t="shared" ref="H7:H10" si="0">G7/SUM($G$7:$G$10)</f>
        <v>5.2631578947368418E-2</v>
      </c>
    </row>
    <row r="8" spans="1:8" ht="14.25" customHeight="1" x14ac:dyDescent="0.25">
      <c r="A8" s="94">
        <v>2</v>
      </c>
      <c r="B8" s="68" t="s">
        <v>435</v>
      </c>
      <c r="C8" s="69" t="s">
        <v>501</v>
      </c>
      <c r="D8" s="70">
        <v>46080</v>
      </c>
      <c r="E8" s="70">
        <v>46080</v>
      </c>
      <c r="F8" s="94" t="s">
        <v>191</v>
      </c>
      <c r="G8" s="10">
        <v>20</v>
      </c>
      <c r="H8" s="71">
        <f t="shared" si="0"/>
        <v>0.52631578947368418</v>
      </c>
    </row>
    <row r="9" spans="1:8" ht="14.25" customHeight="1" x14ac:dyDescent="0.25">
      <c r="A9" s="68">
        <v>3</v>
      </c>
      <c r="B9" s="68" t="s">
        <v>435</v>
      </c>
      <c r="C9" s="69" t="s">
        <v>502</v>
      </c>
      <c r="D9" s="70">
        <v>46080</v>
      </c>
      <c r="E9" s="70">
        <v>46080</v>
      </c>
      <c r="F9" s="94" t="s">
        <v>191</v>
      </c>
      <c r="G9" s="10">
        <v>10</v>
      </c>
      <c r="H9" s="71">
        <f t="shared" si="0"/>
        <v>0.26315789473684209</v>
      </c>
    </row>
    <row r="10" spans="1:8" ht="14.25" customHeight="1" x14ac:dyDescent="0.25">
      <c r="A10" s="94">
        <v>4</v>
      </c>
      <c r="B10" s="68" t="s">
        <v>435</v>
      </c>
      <c r="C10" s="69" t="s">
        <v>503</v>
      </c>
      <c r="D10" s="70">
        <v>46081</v>
      </c>
      <c r="E10" s="70">
        <v>46081</v>
      </c>
      <c r="F10" s="94" t="s">
        <v>191</v>
      </c>
      <c r="G10" s="10">
        <v>6</v>
      </c>
      <c r="H10" s="71">
        <f t="shared" si="0"/>
        <v>0.15789473684210525</v>
      </c>
    </row>
    <row r="11" spans="1:8" ht="14.25" customHeight="1" x14ac:dyDescent="0.2">
      <c r="A11" s="95" t="s">
        <v>504</v>
      </c>
      <c r="B11" s="73"/>
      <c r="C11" s="73"/>
      <c r="D11" s="70"/>
      <c r="E11" s="70"/>
      <c r="F11" s="10"/>
      <c r="G11" s="10"/>
      <c r="H11" s="74"/>
    </row>
    <row r="12" spans="1:8" ht="14.25" customHeight="1" x14ac:dyDescent="0.25">
      <c r="A12" s="10">
        <v>1</v>
      </c>
      <c r="B12" s="68" t="s">
        <v>435</v>
      </c>
      <c r="C12" s="69" t="s">
        <v>505</v>
      </c>
      <c r="D12" s="70">
        <v>46086</v>
      </c>
      <c r="E12" s="70"/>
      <c r="F12" s="94" t="s">
        <v>191</v>
      </c>
      <c r="G12" s="10">
        <v>24</v>
      </c>
      <c r="H12" s="75">
        <f t="shared" ref="H12:H15" si="1">G12/SUM($G$12:G15)</f>
        <v>0.6</v>
      </c>
    </row>
    <row r="13" spans="1:8" ht="14.25" customHeight="1" x14ac:dyDescent="0.25">
      <c r="A13" s="10">
        <v>2</v>
      </c>
      <c r="B13" s="68" t="s">
        <v>435</v>
      </c>
      <c r="C13" s="69" t="s">
        <v>506</v>
      </c>
      <c r="D13" s="70">
        <v>46086</v>
      </c>
      <c r="E13" s="70"/>
      <c r="F13" s="94" t="s">
        <v>191</v>
      </c>
      <c r="G13" s="10">
        <v>10</v>
      </c>
      <c r="H13" s="75">
        <f t="shared" si="1"/>
        <v>0.25</v>
      </c>
    </row>
    <row r="14" spans="1:8" ht="14.25" customHeight="1" x14ac:dyDescent="0.25">
      <c r="A14" s="10">
        <v>3</v>
      </c>
      <c r="B14" s="68" t="s">
        <v>435</v>
      </c>
      <c r="C14" s="69" t="s">
        <v>507</v>
      </c>
      <c r="D14" s="70">
        <v>46083</v>
      </c>
      <c r="E14" s="70"/>
      <c r="F14" s="94" t="s">
        <v>191</v>
      </c>
      <c r="G14" s="10">
        <v>2</v>
      </c>
      <c r="H14" s="75">
        <f t="shared" si="1"/>
        <v>0.05</v>
      </c>
    </row>
    <row r="15" spans="1:8" ht="14.25" customHeight="1" x14ac:dyDescent="0.25">
      <c r="A15" s="10">
        <v>4</v>
      </c>
      <c r="B15" s="68" t="s">
        <v>508</v>
      </c>
      <c r="C15" s="69" t="s">
        <v>509</v>
      </c>
      <c r="D15" s="70">
        <v>46085</v>
      </c>
      <c r="E15" s="70"/>
      <c r="F15" s="68" t="s">
        <v>191</v>
      </c>
      <c r="G15" s="10">
        <v>4</v>
      </c>
      <c r="H15" s="75">
        <f t="shared" si="1"/>
        <v>0.1</v>
      </c>
    </row>
    <row r="16" spans="1:8" ht="14.25" customHeight="1" x14ac:dyDescent="0.2"/>
    <row r="17" spans="2:8" ht="14.25" customHeight="1" x14ac:dyDescent="0.2">
      <c r="H17" s="76"/>
    </row>
    <row r="18" spans="2:8" ht="14.25" customHeight="1" x14ac:dyDescent="0.2">
      <c r="H18" s="76"/>
    </row>
    <row r="19" spans="2:8" ht="14.25" customHeight="1" x14ac:dyDescent="0.2">
      <c r="H19" s="76"/>
    </row>
    <row r="20" spans="2:8" ht="14.25" customHeight="1" x14ac:dyDescent="0.2">
      <c r="H20" s="76"/>
    </row>
    <row r="21" spans="2:8" ht="14.25" customHeight="1" x14ac:dyDescent="0.2">
      <c r="H21" s="76"/>
    </row>
    <row r="22" spans="2:8" ht="14.25" customHeight="1" x14ac:dyDescent="0.2">
      <c r="H22" s="76"/>
    </row>
    <row r="23" spans="2:8" ht="14.25" customHeight="1" x14ac:dyDescent="0.2">
      <c r="B23" s="2"/>
      <c r="H23" s="76"/>
    </row>
    <row r="24" spans="2:8" ht="14.25" customHeight="1" x14ac:dyDescent="0.2">
      <c r="H24" s="76"/>
    </row>
    <row r="25" spans="2:8" ht="14.25" customHeight="1" x14ac:dyDescent="0.2">
      <c r="H25" s="76"/>
    </row>
    <row r="26" spans="2:8" ht="14.25" customHeight="1" x14ac:dyDescent="0.2">
      <c r="H26" s="76"/>
    </row>
    <row r="27" spans="2:8" ht="14.25" customHeight="1" x14ac:dyDescent="0.2">
      <c r="H27" s="76"/>
    </row>
    <row r="28" spans="2:8" ht="14.25" customHeight="1" x14ac:dyDescent="0.2">
      <c r="H28" s="76"/>
    </row>
    <row r="29" spans="2:8" ht="14.25" customHeight="1" x14ac:dyDescent="0.2">
      <c r="H29" s="76"/>
    </row>
    <row r="30" spans="2:8" ht="14.25" customHeight="1" x14ac:dyDescent="0.2">
      <c r="H30" s="76"/>
    </row>
    <row r="31" spans="2:8" ht="14.25" customHeight="1" x14ac:dyDescent="0.2">
      <c r="H31" s="76"/>
    </row>
    <row r="32" spans="2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510</v>
      </c>
      <c r="E2" s="2" t="s">
        <v>511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512</v>
      </c>
      <c r="E3" s="2" t="s">
        <v>513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435</v>
      </c>
      <c r="C7" s="69" t="s">
        <v>514</v>
      </c>
      <c r="D7" s="70">
        <v>46057</v>
      </c>
      <c r="E7" s="70">
        <v>46059</v>
      </c>
      <c r="F7" s="10" t="s">
        <v>18</v>
      </c>
      <c r="G7" s="10">
        <v>33</v>
      </c>
      <c r="H7" s="71">
        <f t="shared" ref="H7:H8" si="0">G7/SUM($G$7:$G$8)</f>
        <v>0.82499999999999996</v>
      </c>
    </row>
    <row r="8" spans="1:8" ht="14.25" customHeight="1" x14ac:dyDescent="0.25">
      <c r="A8" s="94">
        <v>2</v>
      </c>
      <c r="B8" s="68" t="s">
        <v>435</v>
      </c>
      <c r="C8" s="69" t="s">
        <v>515</v>
      </c>
      <c r="D8" s="70">
        <v>46059</v>
      </c>
      <c r="E8" s="70">
        <v>46059</v>
      </c>
      <c r="F8" s="94" t="s">
        <v>191</v>
      </c>
      <c r="G8" s="10">
        <v>7</v>
      </c>
      <c r="H8" s="71">
        <f t="shared" si="0"/>
        <v>0.17499999999999999</v>
      </c>
    </row>
    <row r="9" spans="1:8" ht="14.25" customHeight="1" x14ac:dyDescent="0.2">
      <c r="A9" s="95" t="s">
        <v>516</v>
      </c>
      <c r="B9" s="73"/>
      <c r="C9" s="73"/>
      <c r="D9" s="70"/>
      <c r="E9" s="70"/>
      <c r="F9" s="10"/>
      <c r="G9" s="10"/>
      <c r="H9" s="74"/>
    </row>
    <row r="10" spans="1:8" ht="14.25" customHeight="1" x14ac:dyDescent="0.25">
      <c r="A10" s="10">
        <v>1</v>
      </c>
      <c r="B10" s="68" t="s">
        <v>435</v>
      </c>
      <c r="C10" s="69" t="s">
        <v>515</v>
      </c>
      <c r="D10" s="70">
        <v>46065</v>
      </c>
      <c r="E10" s="70"/>
      <c r="F10" s="94" t="s">
        <v>191</v>
      </c>
      <c r="G10" s="10">
        <v>32</v>
      </c>
      <c r="H10" s="75">
        <f>G10/SUM($G$10:G11)</f>
        <v>0.8</v>
      </c>
    </row>
    <row r="11" spans="1:8" ht="14.25" customHeight="1" x14ac:dyDescent="0.25">
      <c r="A11" s="10">
        <v>2</v>
      </c>
      <c r="B11" s="68" t="s">
        <v>435</v>
      </c>
      <c r="C11" s="69" t="s">
        <v>506</v>
      </c>
      <c r="D11" s="70">
        <v>46065</v>
      </c>
      <c r="E11" s="70"/>
      <c r="F11" s="10" t="s">
        <v>444</v>
      </c>
      <c r="G11" s="10">
        <v>8</v>
      </c>
      <c r="H11" s="75">
        <f>G11/SUM($G$10:G14)</f>
        <v>0.2</v>
      </c>
    </row>
    <row r="12" spans="1:8" ht="14.25" customHeight="1" x14ac:dyDescent="0.2"/>
    <row r="13" spans="1:8" ht="14.25" customHeight="1" x14ac:dyDescent="0.2"/>
    <row r="14" spans="1:8" ht="14.25" customHeight="1" x14ac:dyDescent="0.2">
      <c r="H14" s="76"/>
    </row>
    <row r="15" spans="1:8" ht="14.25" customHeight="1" x14ac:dyDescent="0.2">
      <c r="H15" s="76"/>
    </row>
    <row r="16" spans="1:8" ht="14.25" customHeight="1" x14ac:dyDescent="0.2">
      <c r="H16" s="76"/>
    </row>
    <row r="17" spans="2:8" ht="14.25" customHeight="1" x14ac:dyDescent="0.2">
      <c r="H17" s="76"/>
    </row>
    <row r="18" spans="2:8" ht="14.25" customHeight="1" x14ac:dyDescent="0.2">
      <c r="H18" s="76"/>
    </row>
    <row r="19" spans="2:8" ht="14.25" customHeight="1" x14ac:dyDescent="0.2">
      <c r="H19" s="76"/>
    </row>
    <row r="20" spans="2:8" ht="14.25" customHeight="1" x14ac:dyDescent="0.2">
      <c r="B20" s="2"/>
      <c r="H20" s="76"/>
    </row>
    <row r="21" spans="2:8" ht="14.25" customHeight="1" x14ac:dyDescent="0.2">
      <c r="H21" s="76"/>
    </row>
    <row r="22" spans="2:8" ht="14.25" customHeight="1" x14ac:dyDescent="0.2">
      <c r="H22" s="76"/>
    </row>
    <row r="23" spans="2:8" ht="14.25" customHeight="1" x14ac:dyDescent="0.2">
      <c r="H23" s="76"/>
    </row>
    <row r="24" spans="2:8" ht="14.25" customHeight="1" x14ac:dyDescent="0.2">
      <c r="H24" s="76"/>
    </row>
    <row r="25" spans="2:8" ht="14.25" customHeight="1" x14ac:dyDescent="0.2">
      <c r="H25" s="76"/>
    </row>
    <row r="26" spans="2:8" ht="14.25" customHeight="1" x14ac:dyDescent="0.2">
      <c r="H26" s="76"/>
    </row>
    <row r="27" spans="2:8" ht="14.25" customHeight="1" x14ac:dyDescent="0.2">
      <c r="H27" s="76"/>
    </row>
    <row r="28" spans="2:8" ht="14.25" customHeight="1" x14ac:dyDescent="0.2">
      <c r="H28" s="76"/>
    </row>
    <row r="29" spans="2:8" ht="14.25" customHeight="1" x14ac:dyDescent="0.2">
      <c r="H29" s="76"/>
    </row>
    <row r="30" spans="2:8" ht="14.25" customHeight="1" x14ac:dyDescent="0.2">
      <c r="H30" s="76"/>
    </row>
    <row r="31" spans="2:8" ht="14.25" customHeight="1" x14ac:dyDescent="0.2">
      <c r="H31" s="76"/>
    </row>
    <row r="32" spans="2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517</v>
      </c>
      <c r="E2" s="2" t="s">
        <v>518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510</v>
      </c>
      <c r="E3" s="2" t="s">
        <v>511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435</v>
      </c>
      <c r="C7" s="69" t="s">
        <v>519</v>
      </c>
      <c r="D7" s="70">
        <v>46048</v>
      </c>
      <c r="E7" s="70">
        <v>46050</v>
      </c>
      <c r="F7" s="94" t="s">
        <v>18</v>
      </c>
      <c r="G7" s="35">
        <v>8</v>
      </c>
      <c r="H7" s="71">
        <f t="shared" ref="H7:H10" si="0">G7/SUM($G$7:$G$10)</f>
        <v>0.2</v>
      </c>
    </row>
    <row r="8" spans="1:8" ht="14.25" customHeight="1" x14ac:dyDescent="0.25">
      <c r="A8" s="94">
        <v>2</v>
      </c>
      <c r="B8" s="68" t="s">
        <v>435</v>
      </c>
      <c r="C8" s="69" t="s">
        <v>520</v>
      </c>
      <c r="D8" s="70">
        <v>46050</v>
      </c>
      <c r="E8" s="70">
        <v>46051</v>
      </c>
      <c r="F8" s="94" t="s">
        <v>18</v>
      </c>
      <c r="G8" s="82">
        <v>16</v>
      </c>
      <c r="H8" s="71">
        <f t="shared" si="0"/>
        <v>0.4</v>
      </c>
    </row>
    <row r="9" spans="1:8" ht="14.25" customHeight="1" x14ac:dyDescent="0.25">
      <c r="A9" s="68">
        <v>3</v>
      </c>
      <c r="B9" s="68" t="s">
        <v>435</v>
      </c>
      <c r="C9" s="69" t="s">
        <v>521</v>
      </c>
      <c r="D9" s="70">
        <v>46050</v>
      </c>
      <c r="E9" s="70">
        <v>46051</v>
      </c>
      <c r="F9" s="94" t="s">
        <v>18</v>
      </c>
      <c r="G9" s="82">
        <v>12</v>
      </c>
      <c r="H9" s="71">
        <f t="shared" si="0"/>
        <v>0.3</v>
      </c>
    </row>
    <row r="10" spans="1:8" ht="14.25" customHeight="1" x14ac:dyDescent="0.25">
      <c r="A10" s="94">
        <v>4</v>
      </c>
      <c r="B10" s="68" t="s">
        <v>435</v>
      </c>
      <c r="C10" s="69" t="s">
        <v>522</v>
      </c>
      <c r="D10" s="83">
        <v>46052</v>
      </c>
      <c r="E10" s="83">
        <v>46052</v>
      </c>
      <c r="F10" s="94" t="s">
        <v>191</v>
      </c>
      <c r="G10" s="82">
        <v>4</v>
      </c>
      <c r="H10" s="71">
        <f t="shared" si="0"/>
        <v>0.1</v>
      </c>
    </row>
    <row r="11" spans="1:8" ht="14.25" customHeight="1" x14ac:dyDescent="0.2">
      <c r="A11" s="95" t="s">
        <v>523</v>
      </c>
      <c r="B11" s="73"/>
      <c r="C11" s="73"/>
      <c r="D11" s="70"/>
      <c r="E11" s="70"/>
      <c r="F11" s="10"/>
      <c r="G11" s="10"/>
      <c r="H11" s="74"/>
    </row>
    <row r="12" spans="1:8" ht="14.25" customHeight="1" x14ac:dyDescent="0.25">
      <c r="A12" s="10">
        <v>1</v>
      </c>
      <c r="B12" s="68" t="s">
        <v>435</v>
      </c>
      <c r="C12" s="69" t="s">
        <v>524</v>
      </c>
      <c r="D12" s="70">
        <v>46057</v>
      </c>
      <c r="E12" s="70"/>
      <c r="F12" s="10" t="s">
        <v>444</v>
      </c>
      <c r="G12" s="10">
        <v>4</v>
      </c>
      <c r="H12" s="75">
        <f t="shared" ref="H12:H15" si="1">G12/SUM($G$12:G15)</f>
        <v>0.16666666666666666</v>
      </c>
    </row>
    <row r="13" spans="1:8" ht="14.25" customHeight="1" x14ac:dyDescent="0.25">
      <c r="A13" s="10">
        <v>2</v>
      </c>
      <c r="B13" s="68" t="s">
        <v>435</v>
      </c>
      <c r="C13" s="69" t="s">
        <v>525</v>
      </c>
      <c r="D13" s="70">
        <v>46057</v>
      </c>
      <c r="E13" s="70"/>
      <c r="F13" s="10" t="s">
        <v>444</v>
      </c>
      <c r="G13" s="10">
        <v>4</v>
      </c>
      <c r="H13" s="75">
        <f t="shared" si="1"/>
        <v>0.16666666666666666</v>
      </c>
    </row>
    <row r="14" spans="1:8" ht="14.25" customHeight="1" x14ac:dyDescent="0.25">
      <c r="A14" s="10">
        <v>3</v>
      </c>
      <c r="B14" s="68" t="s">
        <v>435</v>
      </c>
      <c r="C14" s="69" t="s">
        <v>526</v>
      </c>
      <c r="D14" s="70">
        <v>46058</v>
      </c>
      <c r="E14" s="83"/>
      <c r="F14" s="10" t="s">
        <v>444</v>
      </c>
      <c r="G14" s="10">
        <v>8</v>
      </c>
      <c r="H14" s="75">
        <f t="shared" si="1"/>
        <v>0.33333333333333331</v>
      </c>
    </row>
    <row r="15" spans="1:8" ht="14.25" customHeight="1" x14ac:dyDescent="0.25">
      <c r="A15" s="10">
        <v>4</v>
      </c>
      <c r="B15" s="68" t="s">
        <v>435</v>
      </c>
      <c r="C15" s="69" t="s">
        <v>527</v>
      </c>
      <c r="D15" s="70">
        <v>46059</v>
      </c>
      <c r="E15" s="83"/>
      <c r="F15" s="10" t="s">
        <v>444</v>
      </c>
      <c r="G15" s="10">
        <v>8</v>
      </c>
      <c r="H15" s="75">
        <f t="shared" si="1"/>
        <v>0.33333333333333331</v>
      </c>
    </row>
    <row r="16" spans="1:8" ht="14.25" customHeight="1" x14ac:dyDescent="0.2">
      <c r="H16" s="76"/>
    </row>
    <row r="17" spans="2:8" ht="14.25" customHeight="1" x14ac:dyDescent="0.2">
      <c r="H17" s="76"/>
    </row>
    <row r="18" spans="2:8" ht="14.25" customHeight="1" x14ac:dyDescent="0.2">
      <c r="H18" s="76"/>
    </row>
    <row r="19" spans="2:8" ht="14.25" customHeight="1" x14ac:dyDescent="0.2">
      <c r="H19" s="76"/>
    </row>
    <row r="20" spans="2:8" ht="14.25" customHeight="1" x14ac:dyDescent="0.2">
      <c r="H20" s="76"/>
    </row>
    <row r="21" spans="2:8" ht="14.25" customHeight="1" x14ac:dyDescent="0.2">
      <c r="H21" s="76"/>
    </row>
    <row r="22" spans="2:8" ht="14.25" customHeight="1" x14ac:dyDescent="0.2">
      <c r="B22" s="2"/>
      <c r="H22" s="76"/>
    </row>
    <row r="23" spans="2:8" ht="14.25" customHeight="1" x14ac:dyDescent="0.2">
      <c r="H23" s="76"/>
    </row>
    <row r="24" spans="2:8" ht="14.25" customHeight="1" x14ac:dyDescent="0.2">
      <c r="H24" s="76"/>
    </row>
    <row r="25" spans="2:8" ht="14.25" customHeight="1" x14ac:dyDescent="0.2">
      <c r="H25" s="76"/>
    </row>
    <row r="26" spans="2:8" ht="14.25" customHeight="1" x14ac:dyDescent="0.2">
      <c r="H26" s="76"/>
    </row>
    <row r="27" spans="2:8" ht="14.25" customHeight="1" x14ac:dyDescent="0.2">
      <c r="H27" s="76"/>
    </row>
    <row r="28" spans="2:8" ht="14.25" customHeight="1" x14ac:dyDescent="0.2">
      <c r="H28" s="76"/>
    </row>
    <row r="29" spans="2:8" ht="14.25" customHeight="1" x14ac:dyDescent="0.2">
      <c r="H29" s="76"/>
    </row>
    <row r="30" spans="2:8" ht="14.25" customHeight="1" x14ac:dyDescent="0.2">
      <c r="H30" s="76"/>
    </row>
    <row r="31" spans="2:8" ht="14.25" customHeight="1" x14ac:dyDescent="0.2">
      <c r="H31" s="76"/>
    </row>
    <row r="32" spans="2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528</v>
      </c>
      <c r="E2" s="2" t="s">
        <v>529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517</v>
      </c>
      <c r="E3" s="2" t="s">
        <v>518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5">
      <c r="A7" s="68">
        <v>1</v>
      </c>
      <c r="B7" s="68" t="s">
        <v>435</v>
      </c>
      <c r="C7" s="69" t="s">
        <v>530</v>
      </c>
      <c r="D7" s="70">
        <v>46041</v>
      </c>
      <c r="E7" s="70">
        <v>46041</v>
      </c>
      <c r="F7" s="94" t="s">
        <v>18</v>
      </c>
      <c r="G7" s="35">
        <v>8</v>
      </c>
      <c r="H7" s="71">
        <f t="shared" ref="H7:H12" si="0">G7/SUM($G$7:$G$11)</f>
        <v>0.25</v>
      </c>
    </row>
    <row r="8" spans="1:8" ht="14.25" customHeight="1" x14ac:dyDescent="0.25">
      <c r="A8" s="94">
        <v>2</v>
      </c>
      <c r="B8" s="68" t="s">
        <v>435</v>
      </c>
      <c r="C8" s="69" t="s">
        <v>531</v>
      </c>
      <c r="D8" s="97">
        <v>46042</v>
      </c>
      <c r="E8" s="97">
        <v>46042</v>
      </c>
      <c r="F8" s="94" t="s">
        <v>18</v>
      </c>
      <c r="G8" s="82">
        <v>8</v>
      </c>
      <c r="H8" s="71">
        <f t="shared" si="0"/>
        <v>0.25</v>
      </c>
    </row>
    <row r="9" spans="1:8" ht="14.25" customHeight="1" x14ac:dyDescent="0.25">
      <c r="A9" s="68">
        <v>3</v>
      </c>
      <c r="B9" s="68" t="s">
        <v>435</v>
      </c>
      <c r="C9" s="69" t="s">
        <v>532</v>
      </c>
      <c r="D9" s="97">
        <v>46043</v>
      </c>
      <c r="E9" s="97">
        <v>46043</v>
      </c>
      <c r="F9" s="94" t="s">
        <v>18</v>
      </c>
      <c r="G9" s="82">
        <v>4</v>
      </c>
      <c r="H9" s="71">
        <f t="shared" si="0"/>
        <v>0.125</v>
      </c>
    </row>
    <row r="10" spans="1:8" ht="14.25" customHeight="1" x14ac:dyDescent="0.25">
      <c r="A10" s="94">
        <v>4</v>
      </c>
      <c r="B10" s="68" t="s">
        <v>435</v>
      </c>
      <c r="C10" s="69" t="s">
        <v>533</v>
      </c>
      <c r="D10" s="97">
        <v>46044</v>
      </c>
      <c r="E10" s="97">
        <v>46044</v>
      </c>
      <c r="F10" s="94" t="s">
        <v>18</v>
      </c>
      <c r="G10" s="82">
        <v>8</v>
      </c>
      <c r="H10" s="71">
        <f t="shared" si="0"/>
        <v>0.25</v>
      </c>
    </row>
    <row r="11" spans="1:8" ht="14.25" customHeight="1" x14ac:dyDescent="0.25">
      <c r="A11" s="68">
        <v>5</v>
      </c>
      <c r="B11" s="68" t="s">
        <v>435</v>
      </c>
      <c r="C11" s="69" t="s">
        <v>519</v>
      </c>
      <c r="D11" s="97">
        <v>46045</v>
      </c>
      <c r="E11" s="97">
        <v>46045</v>
      </c>
      <c r="F11" s="94" t="s">
        <v>18</v>
      </c>
      <c r="G11" s="84">
        <v>4</v>
      </c>
      <c r="H11" s="71">
        <f t="shared" si="0"/>
        <v>0.125</v>
      </c>
    </row>
    <row r="12" spans="1:8" ht="14.25" customHeight="1" x14ac:dyDescent="0.25">
      <c r="A12" s="68">
        <v>6</v>
      </c>
      <c r="B12" s="68" t="s">
        <v>435</v>
      </c>
      <c r="C12" s="69" t="s">
        <v>534</v>
      </c>
      <c r="D12" s="97">
        <v>46045</v>
      </c>
      <c r="E12" s="97">
        <v>46045</v>
      </c>
      <c r="F12" s="94" t="s">
        <v>18</v>
      </c>
      <c r="G12" s="84">
        <v>8</v>
      </c>
      <c r="H12" s="71">
        <f t="shared" si="0"/>
        <v>0.25</v>
      </c>
    </row>
    <row r="13" spans="1:8" ht="14.25" customHeight="1" x14ac:dyDescent="0.2">
      <c r="A13" s="95" t="s">
        <v>535</v>
      </c>
      <c r="B13" s="73"/>
      <c r="C13" s="73"/>
      <c r="D13" s="70"/>
      <c r="E13" s="70"/>
      <c r="F13" s="10"/>
      <c r="G13" s="10"/>
      <c r="H13" s="74"/>
    </row>
    <row r="14" spans="1:8" ht="14.25" customHeight="1" x14ac:dyDescent="0.25">
      <c r="A14" s="10">
        <v>1</v>
      </c>
      <c r="B14" s="68" t="s">
        <v>435</v>
      </c>
      <c r="C14" s="69" t="s">
        <v>519</v>
      </c>
      <c r="D14" s="70">
        <v>46048</v>
      </c>
      <c r="E14" s="70"/>
      <c r="F14" s="10" t="s">
        <v>444</v>
      </c>
      <c r="G14" s="10">
        <v>4</v>
      </c>
      <c r="H14" s="75">
        <f>G14/SUM($G$14:G17)</f>
        <v>0.16666666666666666</v>
      </c>
    </row>
    <row r="15" spans="1:8" ht="14.25" customHeight="1" x14ac:dyDescent="0.25">
      <c r="A15" s="10">
        <v>2</v>
      </c>
      <c r="B15" s="68" t="s">
        <v>435</v>
      </c>
      <c r="C15" s="69" t="s">
        <v>536</v>
      </c>
      <c r="D15" s="70">
        <v>46048</v>
      </c>
      <c r="E15" s="70"/>
      <c r="F15" s="10" t="s">
        <v>444</v>
      </c>
      <c r="G15" s="10">
        <v>4</v>
      </c>
      <c r="H15" s="75">
        <f t="shared" ref="H15:H18" si="1">G15/SUM($G$14:G19)</f>
        <v>0.16666666666666666</v>
      </c>
    </row>
    <row r="16" spans="1:8" ht="14.25" customHeight="1" x14ac:dyDescent="0.25">
      <c r="A16" s="10">
        <v>3</v>
      </c>
      <c r="B16" s="68" t="s">
        <v>435</v>
      </c>
      <c r="C16" s="69" t="s">
        <v>520</v>
      </c>
      <c r="D16" s="70">
        <v>46050</v>
      </c>
      <c r="E16" s="70"/>
      <c r="F16" s="10" t="s">
        <v>444</v>
      </c>
      <c r="G16" s="10">
        <v>12</v>
      </c>
      <c r="H16" s="75">
        <f t="shared" si="1"/>
        <v>0.5</v>
      </c>
    </row>
    <row r="17" spans="1:8" ht="14.25" customHeight="1" x14ac:dyDescent="0.25">
      <c r="A17" s="10">
        <v>4</v>
      </c>
      <c r="B17" s="68" t="s">
        <v>435</v>
      </c>
      <c r="C17" s="69" t="s">
        <v>521</v>
      </c>
      <c r="D17" s="83">
        <v>46050</v>
      </c>
      <c r="E17" s="83"/>
      <c r="F17" s="10" t="s">
        <v>444</v>
      </c>
      <c r="G17" s="10">
        <v>4</v>
      </c>
      <c r="H17" s="75">
        <f t="shared" si="1"/>
        <v>0.16666666666666666</v>
      </c>
    </row>
    <row r="18" spans="1:8" ht="14.25" customHeight="1" x14ac:dyDescent="0.25">
      <c r="A18" s="10">
        <v>5</v>
      </c>
      <c r="B18" s="68" t="s">
        <v>435</v>
      </c>
      <c r="C18" s="69" t="s">
        <v>526</v>
      </c>
      <c r="D18" s="83">
        <v>46052</v>
      </c>
      <c r="E18" s="83"/>
      <c r="F18" s="10" t="s">
        <v>444</v>
      </c>
      <c r="G18" s="10"/>
      <c r="H18" s="75">
        <f t="shared" si="1"/>
        <v>0</v>
      </c>
    </row>
    <row r="19" spans="1:8" ht="14.25" customHeight="1" x14ac:dyDescent="0.2">
      <c r="H19" s="76"/>
    </row>
    <row r="20" spans="1:8" ht="14.25" customHeight="1" x14ac:dyDescent="0.2">
      <c r="H20" s="76"/>
    </row>
    <row r="21" spans="1:8" ht="14.25" customHeight="1" x14ac:dyDescent="0.2">
      <c r="H21" s="76"/>
    </row>
    <row r="22" spans="1:8" ht="14.25" customHeight="1" x14ac:dyDescent="0.2">
      <c r="H22" s="76"/>
    </row>
    <row r="23" spans="1:8" ht="14.25" customHeight="1" x14ac:dyDescent="0.2">
      <c r="H23" s="76"/>
    </row>
    <row r="24" spans="1:8" ht="14.25" customHeight="1" x14ac:dyDescent="0.2">
      <c r="H24" s="76"/>
    </row>
    <row r="25" spans="1:8" ht="14.25" customHeight="1" x14ac:dyDescent="0.2">
      <c r="H25" s="76"/>
    </row>
    <row r="26" spans="1:8" ht="14.25" customHeight="1" x14ac:dyDescent="0.2">
      <c r="B26" s="2"/>
      <c r="H26" s="76"/>
    </row>
    <row r="27" spans="1:8" ht="14.25" customHeight="1" x14ac:dyDescent="0.2">
      <c r="H27" s="76"/>
    </row>
    <row r="28" spans="1:8" ht="14.25" customHeight="1" x14ac:dyDescent="0.2">
      <c r="H28" s="76"/>
    </row>
    <row r="29" spans="1:8" ht="14.25" customHeight="1" x14ac:dyDescent="0.2">
      <c r="H29" s="76"/>
    </row>
    <row r="30" spans="1:8" ht="14.25" customHeight="1" x14ac:dyDescent="0.2">
      <c r="H30" s="76"/>
    </row>
    <row r="31" spans="1:8" ht="14.25" customHeight="1" x14ac:dyDescent="0.2">
      <c r="H31" s="76"/>
    </row>
    <row r="32" spans="1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landscape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H1000"/>
  <sheetViews>
    <sheetView workbookViewId="0"/>
  </sheetViews>
  <sheetFormatPr defaultColWidth="12.625" defaultRowHeight="15" customHeight="1" x14ac:dyDescent="0.2"/>
  <cols>
    <col min="1" max="1" width="10.125" customWidth="1"/>
    <col min="2" max="2" width="15.125" customWidth="1"/>
    <col min="3" max="3" width="52.75" customWidth="1"/>
    <col min="4" max="4" width="24.125" customWidth="1"/>
    <col min="5" max="5" width="29.5" customWidth="1"/>
    <col min="6" max="6" width="23.875" customWidth="1"/>
    <col min="7" max="8" width="15.125" customWidth="1"/>
  </cols>
  <sheetData>
    <row r="1" spans="1:8" ht="14.25" customHeight="1" x14ac:dyDescent="0.2">
      <c r="A1" s="103" t="s">
        <v>0</v>
      </c>
      <c r="B1" s="104"/>
      <c r="C1" s="104"/>
      <c r="D1" s="104"/>
      <c r="E1" s="104"/>
      <c r="F1" s="104"/>
      <c r="G1" s="1"/>
      <c r="H1" s="65"/>
    </row>
    <row r="2" spans="1:8" ht="14.25" customHeight="1" x14ac:dyDescent="0.2">
      <c r="A2" s="2"/>
      <c r="B2" s="2"/>
      <c r="C2" s="2"/>
      <c r="D2" s="2" t="s">
        <v>537</v>
      </c>
      <c r="E2" s="2" t="s">
        <v>538</v>
      </c>
      <c r="F2" s="4"/>
      <c r="G2" s="4"/>
      <c r="H2" s="65"/>
    </row>
    <row r="3" spans="1:8" ht="14.25" customHeight="1" x14ac:dyDescent="0.2">
      <c r="A3" s="2"/>
      <c r="B3" s="2"/>
      <c r="C3" s="66" t="s">
        <v>426</v>
      </c>
      <c r="D3" s="2" t="s">
        <v>528</v>
      </c>
      <c r="E3" s="2" t="s">
        <v>529</v>
      </c>
      <c r="F3" s="4"/>
      <c r="G3" s="4"/>
      <c r="H3" s="65"/>
    </row>
    <row r="4" spans="1:8" ht="14.25" customHeight="1" x14ac:dyDescent="0.2">
      <c r="A4" s="5" t="s">
        <v>3</v>
      </c>
      <c r="B4" s="6" t="s">
        <v>429</v>
      </c>
      <c r="C4" s="2"/>
      <c r="D4" s="2"/>
      <c r="E4" s="2"/>
      <c r="F4" s="4"/>
      <c r="G4" s="4"/>
      <c r="H4" s="65"/>
    </row>
    <row r="5" spans="1:8" ht="14.25" customHeight="1" x14ac:dyDescent="0.2">
      <c r="A5" s="2"/>
      <c r="B5" s="2"/>
      <c r="C5" s="2"/>
      <c r="D5" s="2"/>
      <c r="E5" s="2"/>
      <c r="F5" s="4"/>
      <c r="G5" s="4"/>
      <c r="H5" s="65"/>
    </row>
    <row r="6" spans="1:8" ht="14.25" customHeight="1" x14ac:dyDescent="0.2">
      <c r="A6" s="9" t="s">
        <v>6</v>
      </c>
      <c r="B6" s="9" t="s">
        <v>7</v>
      </c>
      <c r="C6" s="9" t="s">
        <v>59</v>
      </c>
      <c r="D6" s="9" t="s">
        <v>9</v>
      </c>
      <c r="E6" s="9" t="s">
        <v>10</v>
      </c>
      <c r="F6" s="21" t="s">
        <v>12</v>
      </c>
      <c r="G6" s="21" t="s">
        <v>60</v>
      </c>
      <c r="H6" s="67" t="s">
        <v>61</v>
      </c>
    </row>
    <row r="7" spans="1:8" ht="14.25" customHeight="1" x14ac:dyDescent="0.2">
      <c r="A7" s="68">
        <v>1</v>
      </c>
      <c r="B7" s="68" t="s">
        <v>435</v>
      </c>
      <c r="C7" s="81" t="s">
        <v>539</v>
      </c>
      <c r="D7" s="97">
        <v>45670</v>
      </c>
      <c r="E7" s="97">
        <v>45670</v>
      </c>
      <c r="F7" s="94" t="s">
        <v>18</v>
      </c>
      <c r="G7" s="35">
        <v>12</v>
      </c>
      <c r="H7" s="71">
        <f t="shared" ref="H7:H10" si="0">G7/SUM($G$7:$G$10)</f>
        <v>0.3</v>
      </c>
    </row>
    <row r="8" spans="1:8" ht="14.25" customHeight="1" x14ac:dyDescent="0.25">
      <c r="A8" s="94">
        <v>2</v>
      </c>
      <c r="B8" s="68" t="s">
        <v>435</v>
      </c>
      <c r="C8" s="69" t="s">
        <v>540</v>
      </c>
      <c r="D8" s="97">
        <v>45671</v>
      </c>
      <c r="E8" s="97">
        <v>45671</v>
      </c>
      <c r="F8" s="94" t="s">
        <v>18</v>
      </c>
      <c r="G8" s="82">
        <v>8</v>
      </c>
      <c r="H8" s="71">
        <f t="shared" si="0"/>
        <v>0.2</v>
      </c>
    </row>
    <row r="9" spans="1:8" ht="14.25" customHeight="1" x14ac:dyDescent="0.25">
      <c r="A9" s="94">
        <v>3</v>
      </c>
      <c r="B9" s="68" t="s">
        <v>435</v>
      </c>
      <c r="C9" s="69" t="s">
        <v>533</v>
      </c>
      <c r="D9" s="97">
        <v>46037</v>
      </c>
      <c r="E9" s="97">
        <v>45671</v>
      </c>
      <c r="F9" s="84" t="s">
        <v>15</v>
      </c>
      <c r="G9" s="82">
        <v>8</v>
      </c>
      <c r="H9" s="71">
        <f t="shared" si="0"/>
        <v>0.2</v>
      </c>
    </row>
    <row r="10" spans="1:8" ht="14.25" customHeight="1" x14ac:dyDescent="0.25">
      <c r="A10" s="68">
        <v>4</v>
      </c>
      <c r="B10" s="68" t="s">
        <v>435</v>
      </c>
      <c r="C10" s="69" t="s">
        <v>541</v>
      </c>
      <c r="D10" s="97">
        <v>46038</v>
      </c>
      <c r="E10" s="97">
        <v>46038</v>
      </c>
      <c r="F10" s="94" t="s">
        <v>18</v>
      </c>
      <c r="G10" s="84">
        <v>12</v>
      </c>
      <c r="H10" s="71">
        <f t="shared" si="0"/>
        <v>0.3</v>
      </c>
    </row>
    <row r="11" spans="1:8" ht="14.25" customHeight="1" x14ac:dyDescent="0.2">
      <c r="A11" s="95" t="s">
        <v>542</v>
      </c>
      <c r="B11" s="73"/>
      <c r="C11" s="73"/>
      <c r="D11" s="70"/>
      <c r="E11" s="70"/>
      <c r="F11" s="10"/>
      <c r="G11" s="10"/>
      <c r="H11" s="74"/>
    </row>
    <row r="12" spans="1:8" ht="14.25" customHeight="1" x14ac:dyDescent="0.25">
      <c r="A12" s="10">
        <v>1</v>
      </c>
      <c r="B12" s="68" t="s">
        <v>435</v>
      </c>
      <c r="C12" s="69" t="s">
        <v>530</v>
      </c>
      <c r="D12" s="70">
        <v>46042</v>
      </c>
      <c r="E12" s="70"/>
      <c r="F12" s="10" t="s">
        <v>444</v>
      </c>
      <c r="G12" s="10">
        <v>12</v>
      </c>
      <c r="H12" s="75">
        <f t="shared" ref="H12:H15" si="1">G12/SUM($G$12:G15)</f>
        <v>0.3</v>
      </c>
    </row>
    <row r="13" spans="1:8" ht="14.25" customHeight="1" x14ac:dyDescent="0.25">
      <c r="A13" s="10">
        <v>2</v>
      </c>
      <c r="B13" s="68" t="s">
        <v>435</v>
      </c>
      <c r="C13" s="69" t="s">
        <v>533</v>
      </c>
      <c r="D13" s="70">
        <v>46043</v>
      </c>
      <c r="E13" s="70"/>
      <c r="F13" s="84" t="s">
        <v>15</v>
      </c>
      <c r="G13" s="10">
        <v>4</v>
      </c>
      <c r="H13" s="75">
        <f t="shared" si="1"/>
        <v>0.1</v>
      </c>
    </row>
    <row r="14" spans="1:8" ht="14.25" customHeight="1" x14ac:dyDescent="0.25">
      <c r="A14" s="10">
        <v>3</v>
      </c>
      <c r="B14" s="68" t="s">
        <v>435</v>
      </c>
      <c r="C14" s="69" t="s">
        <v>532</v>
      </c>
      <c r="D14" s="70">
        <v>23</v>
      </c>
      <c r="E14" s="70"/>
      <c r="F14" s="10" t="s">
        <v>444</v>
      </c>
      <c r="G14" s="10">
        <v>12</v>
      </c>
      <c r="H14" s="75">
        <f t="shared" si="1"/>
        <v>0.3</v>
      </c>
    </row>
    <row r="15" spans="1:8" ht="14.25" customHeight="1" x14ac:dyDescent="0.25">
      <c r="A15" s="10">
        <v>4</v>
      </c>
      <c r="B15" s="68" t="s">
        <v>435</v>
      </c>
      <c r="C15" s="69" t="s">
        <v>520</v>
      </c>
      <c r="D15" s="83">
        <v>46045</v>
      </c>
      <c r="E15" s="83"/>
      <c r="F15" s="10" t="s">
        <v>444</v>
      </c>
      <c r="G15" s="10">
        <v>12</v>
      </c>
      <c r="H15" s="75">
        <f t="shared" si="1"/>
        <v>0.3</v>
      </c>
    </row>
    <row r="16" spans="1:8" ht="14.25" customHeight="1" x14ac:dyDescent="0.2">
      <c r="H16" s="76"/>
    </row>
    <row r="17" spans="2:8" ht="14.25" customHeight="1" x14ac:dyDescent="0.2">
      <c r="H17" s="76"/>
    </row>
    <row r="18" spans="2:8" ht="14.25" customHeight="1" x14ac:dyDescent="0.2">
      <c r="H18" s="76"/>
    </row>
    <row r="19" spans="2:8" ht="14.25" customHeight="1" x14ac:dyDescent="0.2">
      <c r="H19" s="76"/>
    </row>
    <row r="20" spans="2:8" ht="14.25" customHeight="1" x14ac:dyDescent="0.2">
      <c r="H20" s="76"/>
    </row>
    <row r="21" spans="2:8" ht="14.25" customHeight="1" x14ac:dyDescent="0.2">
      <c r="H21" s="76"/>
    </row>
    <row r="22" spans="2:8" ht="14.25" customHeight="1" x14ac:dyDescent="0.2">
      <c r="H22" s="76"/>
    </row>
    <row r="23" spans="2:8" ht="14.25" customHeight="1" x14ac:dyDescent="0.2">
      <c r="B23" s="2"/>
      <c r="H23" s="76"/>
    </row>
    <row r="24" spans="2:8" ht="14.25" customHeight="1" x14ac:dyDescent="0.2">
      <c r="H24" s="76"/>
    </row>
    <row r="25" spans="2:8" ht="14.25" customHeight="1" x14ac:dyDescent="0.2">
      <c r="H25" s="76"/>
    </row>
    <row r="26" spans="2:8" ht="14.25" customHeight="1" x14ac:dyDescent="0.2">
      <c r="H26" s="76"/>
    </row>
    <row r="27" spans="2:8" ht="14.25" customHeight="1" x14ac:dyDescent="0.2">
      <c r="H27" s="76"/>
    </row>
    <row r="28" spans="2:8" ht="14.25" customHeight="1" x14ac:dyDescent="0.2">
      <c r="H28" s="76"/>
    </row>
    <row r="29" spans="2:8" ht="14.25" customHeight="1" x14ac:dyDescent="0.2">
      <c r="H29" s="76"/>
    </row>
    <row r="30" spans="2:8" ht="14.25" customHeight="1" x14ac:dyDescent="0.2">
      <c r="H30" s="76"/>
    </row>
    <row r="31" spans="2:8" ht="14.25" customHeight="1" x14ac:dyDescent="0.2">
      <c r="H31" s="76"/>
    </row>
    <row r="32" spans="2:8" ht="14.25" customHeight="1" x14ac:dyDescent="0.2">
      <c r="H32" s="76"/>
    </row>
    <row r="33" spans="8:8" ht="14.25" customHeight="1" x14ac:dyDescent="0.2">
      <c r="H33" s="76"/>
    </row>
    <row r="34" spans="8:8" ht="14.25" customHeight="1" x14ac:dyDescent="0.2">
      <c r="H34" s="76"/>
    </row>
    <row r="35" spans="8:8" ht="14.25" customHeight="1" x14ac:dyDescent="0.2">
      <c r="H35" s="76"/>
    </row>
    <row r="36" spans="8:8" ht="14.25" customHeight="1" x14ac:dyDescent="0.2">
      <c r="H36" s="76"/>
    </row>
    <row r="37" spans="8:8" ht="14.25" customHeight="1" x14ac:dyDescent="0.2">
      <c r="H37" s="76"/>
    </row>
    <row r="38" spans="8:8" ht="14.25" customHeight="1" x14ac:dyDescent="0.2">
      <c r="H38" s="76"/>
    </row>
    <row r="39" spans="8:8" ht="14.25" customHeight="1" x14ac:dyDescent="0.2">
      <c r="H39" s="76"/>
    </row>
    <row r="40" spans="8:8" ht="14.25" customHeight="1" x14ac:dyDescent="0.2">
      <c r="H40" s="76"/>
    </row>
    <row r="41" spans="8:8" ht="14.25" customHeight="1" x14ac:dyDescent="0.2">
      <c r="H41" s="76"/>
    </row>
    <row r="42" spans="8:8" ht="14.25" customHeight="1" x14ac:dyDescent="0.2">
      <c r="H42" s="76"/>
    </row>
    <row r="43" spans="8:8" ht="14.25" customHeight="1" x14ac:dyDescent="0.2">
      <c r="H43" s="76"/>
    </row>
    <row r="44" spans="8:8" ht="14.25" customHeight="1" x14ac:dyDescent="0.2">
      <c r="H44" s="76"/>
    </row>
    <row r="45" spans="8:8" ht="14.25" customHeight="1" x14ac:dyDescent="0.2">
      <c r="H45" s="76"/>
    </row>
    <row r="46" spans="8:8" ht="14.25" customHeight="1" x14ac:dyDescent="0.2">
      <c r="H46" s="76"/>
    </row>
    <row r="47" spans="8:8" ht="14.25" customHeight="1" x14ac:dyDescent="0.2">
      <c r="H47" s="76"/>
    </row>
    <row r="48" spans="8:8" ht="14.25" customHeight="1" x14ac:dyDescent="0.2">
      <c r="H48" s="76"/>
    </row>
    <row r="49" spans="8:8" ht="14.25" customHeight="1" x14ac:dyDescent="0.2">
      <c r="H49" s="76"/>
    </row>
    <row r="50" spans="8:8" ht="14.25" customHeight="1" x14ac:dyDescent="0.2">
      <c r="H50" s="76"/>
    </row>
    <row r="51" spans="8:8" ht="14.25" customHeight="1" x14ac:dyDescent="0.2">
      <c r="H51" s="76"/>
    </row>
    <row r="52" spans="8:8" ht="14.25" customHeight="1" x14ac:dyDescent="0.2">
      <c r="H52" s="76"/>
    </row>
    <row r="53" spans="8:8" ht="14.25" customHeight="1" x14ac:dyDescent="0.2">
      <c r="H53" s="76"/>
    </row>
    <row r="54" spans="8:8" ht="14.25" customHeight="1" x14ac:dyDescent="0.2">
      <c r="H54" s="76"/>
    </row>
    <row r="55" spans="8:8" ht="14.25" customHeight="1" x14ac:dyDescent="0.2">
      <c r="H55" s="76"/>
    </row>
    <row r="56" spans="8:8" ht="14.25" customHeight="1" x14ac:dyDescent="0.2">
      <c r="H56" s="76"/>
    </row>
    <row r="57" spans="8:8" ht="14.25" customHeight="1" x14ac:dyDescent="0.2">
      <c r="H57" s="76"/>
    </row>
    <row r="58" spans="8:8" ht="14.25" customHeight="1" x14ac:dyDescent="0.2">
      <c r="H58" s="76"/>
    </row>
    <row r="59" spans="8:8" ht="14.25" customHeight="1" x14ac:dyDescent="0.2">
      <c r="H59" s="76"/>
    </row>
    <row r="60" spans="8:8" ht="14.25" customHeight="1" x14ac:dyDescent="0.2">
      <c r="H60" s="76"/>
    </row>
    <row r="61" spans="8:8" ht="14.25" customHeight="1" x14ac:dyDescent="0.2">
      <c r="H61" s="76"/>
    </row>
    <row r="62" spans="8:8" ht="14.25" customHeight="1" x14ac:dyDescent="0.2">
      <c r="H62" s="76"/>
    </row>
    <row r="63" spans="8:8" ht="14.25" customHeight="1" x14ac:dyDescent="0.2">
      <c r="H63" s="76"/>
    </row>
    <row r="64" spans="8:8" ht="14.25" customHeight="1" x14ac:dyDescent="0.2">
      <c r="H64" s="76"/>
    </row>
    <row r="65" spans="8:8" ht="14.25" customHeight="1" x14ac:dyDescent="0.2">
      <c r="H65" s="76"/>
    </row>
    <row r="66" spans="8:8" ht="14.25" customHeight="1" x14ac:dyDescent="0.2">
      <c r="H66" s="76"/>
    </row>
    <row r="67" spans="8:8" ht="14.25" customHeight="1" x14ac:dyDescent="0.2">
      <c r="H67" s="76"/>
    </row>
    <row r="68" spans="8:8" ht="14.25" customHeight="1" x14ac:dyDescent="0.2">
      <c r="H68" s="76"/>
    </row>
    <row r="69" spans="8:8" ht="14.25" customHeight="1" x14ac:dyDescent="0.2">
      <c r="H69" s="76"/>
    </row>
    <row r="70" spans="8:8" ht="14.25" customHeight="1" x14ac:dyDescent="0.2">
      <c r="H70" s="76"/>
    </row>
    <row r="71" spans="8:8" ht="14.25" customHeight="1" x14ac:dyDescent="0.2">
      <c r="H71" s="76"/>
    </row>
    <row r="72" spans="8:8" ht="14.25" customHeight="1" x14ac:dyDescent="0.2">
      <c r="H72" s="76"/>
    </row>
    <row r="73" spans="8:8" ht="14.25" customHeight="1" x14ac:dyDescent="0.2">
      <c r="H73" s="76"/>
    </row>
    <row r="74" spans="8:8" ht="14.25" customHeight="1" x14ac:dyDescent="0.2">
      <c r="H74" s="76"/>
    </row>
    <row r="75" spans="8:8" ht="14.25" customHeight="1" x14ac:dyDescent="0.2">
      <c r="H75" s="76"/>
    </row>
    <row r="76" spans="8:8" ht="14.25" customHeight="1" x14ac:dyDescent="0.2">
      <c r="H76" s="76"/>
    </row>
    <row r="77" spans="8:8" ht="14.25" customHeight="1" x14ac:dyDescent="0.2">
      <c r="H77" s="76"/>
    </row>
    <row r="78" spans="8:8" ht="14.25" customHeight="1" x14ac:dyDescent="0.2">
      <c r="H78" s="76"/>
    </row>
    <row r="79" spans="8:8" ht="14.25" customHeight="1" x14ac:dyDescent="0.2">
      <c r="H79" s="76"/>
    </row>
    <row r="80" spans="8:8" ht="14.25" customHeight="1" x14ac:dyDescent="0.2">
      <c r="H80" s="76"/>
    </row>
    <row r="81" spans="8:8" ht="14.25" customHeight="1" x14ac:dyDescent="0.2">
      <c r="H81" s="76"/>
    </row>
    <row r="82" spans="8:8" ht="14.25" customHeight="1" x14ac:dyDescent="0.2">
      <c r="H82" s="76"/>
    </row>
    <row r="83" spans="8:8" ht="14.25" customHeight="1" x14ac:dyDescent="0.2">
      <c r="H83" s="76"/>
    </row>
    <row r="84" spans="8:8" ht="14.25" customHeight="1" x14ac:dyDescent="0.2">
      <c r="H84" s="76"/>
    </row>
    <row r="85" spans="8:8" ht="14.25" customHeight="1" x14ac:dyDescent="0.2">
      <c r="H85" s="76"/>
    </row>
    <row r="86" spans="8:8" ht="14.25" customHeight="1" x14ac:dyDescent="0.2">
      <c r="H86" s="76"/>
    </row>
    <row r="87" spans="8:8" ht="14.25" customHeight="1" x14ac:dyDescent="0.2">
      <c r="H87" s="76"/>
    </row>
    <row r="88" spans="8:8" ht="14.25" customHeight="1" x14ac:dyDescent="0.2">
      <c r="H88" s="76"/>
    </row>
    <row r="89" spans="8:8" ht="14.25" customHeight="1" x14ac:dyDescent="0.2">
      <c r="H89" s="76"/>
    </row>
    <row r="90" spans="8:8" ht="14.25" customHeight="1" x14ac:dyDescent="0.2">
      <c r="H90" s="76"/>
    </row>
    <row r="91" spans="8:8" ht="14.25" customHeight="1" x14ac:dyDescent="0.2">
      <c r="H91" s="76"/>
    </row>
    <row r="92" spans="8:8" ht="14.25" customHeight="1" x14ac:dyDescent="0.2">
      <c r="H92" s="76"/>
    </row>
    <row r="93" spans="8:8" ht="14.25" customHeight="1" x14ac:dyDescent="0.2">
      <c r="H93" s="76"/>
    </row>
    <row r="94" spans="8:8" ht="14.25" customHeight="1" x14ac:dyDescent="0.2">
      <c r="H94" s="76"/>
    </row>
    <row r="95" spans="8:8" ht="14.25" customHeight="1" x14ac:dyDescent="0.2">
      <c r="H95" s="76"/>
    </row>
    <row r="96" spans="8:8" ht="14.25" customHeight="1" x14ac:dyDescent="0.2">
      <c r="H96" s="76"/>
    </row>
    <row r="97" spans="8:8" ht="14.25" customHeight="1" x14ac:dyDescent="0.2">
      <c r="H97" s="76"/>
    </row>
    <row r="98" spans="8:8" ht="14.25" customHeight="1" x14ac:dyDescent="0.2">
      <c r="H98" s="76"/>
    </row>
    <row r="99" spans="8:8" ht="14.25" customHeight="1" x14ac:dyDescent="0.2">
      <c r="H99" s="76"/>
    </row>
    <row r="100" spans="8:8" ht="14.25" customHeight="1" x14ac:dyDescent="0.2">
      <c r="H100" s="76"/>
    </row>
    <row r="101" spans="8:8" ht="14.25" customHeight="1" x14ac:dyDescent="0.2">
      <c r="H101" s="76"/>
    </row>
    <row r="102" spans="8:8" ht="14.25" customHeight="1" x14ac:dyDescent="0.2">
      <c r="H102" s="76"/>
    </row>
    <row r="103" spans="8:8" ht="14.25" customHeight="1" x14ac:dyDescent="0.2">
      <c r="H103" s="76"/>
    </row>
    <row r="104" spans="8:8" ht="14.25" customHeight="1" x14ac:dyDescent="0.2">
      <c r="H104" s="76"/>
    </row>
    <row r="105" spans="8:8" ht="14.25" customHeight="1" x14ac:dyDescent="0.2">
      <c r="H105" s="76"/>
    </row>
    <row r="106" spans="8:8" ht="14.25" customHeight="1" x14ac:dyDescent="0.2">
      <c r="H106" s="76"/>
    </row>
    <row r="107" spans="8:8" ht="14.25" customHeight="1" x14ac:dyDescent="0.2">
      <c r="H107" s="76"/>
    </row>
    <row r="108" spans="8:8" ht="14.25" customHeight="1" x14ac:dyDescent="0.2">
      <c r="H108" s="76"/>
    </row>
    <row r="109" spans="8:8" ht="14.25" customHeight="1" x14ac:dyDescent="0.2">
      <c r="H109" s="76"/>
    </row>
    <row r="110" spans="8:8" ht="14.25" customHeight="1" x14ac:dyDescent="0.2">
      <c r="H110" s="76"/>
    </row>
    <row r="111" spans="8:8" ht="14.25" customHeight="1" x14ac:dyDescent="0.2">
      <c r="H111" s="76"/>
    </row>
    <row r="112" spans="8:8" ht="14.25" customHeight="1" x14ac:dyDescent="0.2">
      <c r="H112" s="76"/>
    </row>
    <row r="113" spans="8:8" ht="14.25" customHeight="1" x14ac:dyDescent="0.2">
      <c r="H113" s="76"/>
    </row>
    <row r="114" spans="8:8" ht="14.25" customHeight="1" x14ac:dyDescent="0.2">
      <c r="H114" s="76"/>
    </row>
    <row r="115" spans="8:8" ht="14.25" customHeight="1" x14ac:dyDescent="0.2">
      <c r="H115" s="76"/>
    </row>
    <row r="116" spans="8:8" ht="14.25" customHeight="1" x14ac:dyDescent="0.2">
      <c r="H116" s="76"/>
    </row>
    <row r="117" spans="8:8" ht="14.25" customHeight="1" x14ac:dyDescent="0.2">
      <c r="H117" s="76"/>
    </row>
    <row r="118" spans="8:8" ht="14.25" customHeight="1" x14ac:dyDescent="0.2">
      <c r="H118" s="76"/>
    </row>
    <row r="119" spans="8:8" ht="14.25" customHeight="1" x14ac:dyDescent="0.2">
      <c r="H119" s="76"/>
    </row>
    <row r="120" spans="8:8" ht="14.25" customHeight="1" x14ac:dyDescent="0.2">
      <c r="H120" s="76"/>
    </row>
    <row r="121" spans="8:8" ht="14.25" customHeight="1" x14ac:dyDescent="0.2">
      <c r="H121" s="76"/>
    </row>
    <row r="122" spans="8:8" ht="14.25" customHeight="1" x14ac:dyDescent="0.2">
      <c r="H122" s="76"/>
    </row>
    <row r="123" spans="8:8" ht="14.25" customHeight="1" x14ac:dyDescent="0.2">
      <c r="H123" s="76"/>
    </row>
    <row r="124" spans="8:8" ht="14.25" customHeight="1" x14ac:dyDescent="0.2">
      <c r="H124" s="76"/>
    </row>
    <row r="125" spans="8:8" ht="14.25" customHeight="1" x14ac:dyDescent="0.2">
      <c r="H125" s="76"/>
    </row>
    <row r="126" spans="8:8" ht="14.25" customHeight="1" x14ac:dyDescent="0.2">
      <c r="H126" s="76"/>
    </row>
    <row r="127" spans="8:8" ht="14.25" customHeight="1" x14ac:dyDescent="0.2">
      <c r="H127" s="76"/>
    </row>
    <row r="128" spans="8:8" ht="14.25" customHeight="1" x14ac:dyDescent="0.2">
      <c r="H128" s="76"/>
    </row>
    <row r="129" spans="8:8" ht="14.25" customHeight="1" x14ac:dyDescent="0.2">
      <c r="H129" s="76"/>
    </row>
    <row r="130" spans="8:8" ht="14.25" customHeight="1" x14ac:dyDescent="0.2">
      <c r="H130" s="76"/>
    </row>
    <row r="131" spans="8:8" ht="14.25" customHeight="1" x14ac:dyDescent="0.2">
      <c r="H131" s="76"/>
    </row>
    <row r="132" spans="8:8" ht="14.25" customHeight="1" x14ac:dyDescent="0.2">
      <c r="H132" s="76"/>
    </row>
    <row r="133" spans="8:8" ht="14.25" customHeight="1" x14ac:dyDescent="0.2">
      <c r="H133" s="76"/>
    </row>
    <row r="134" spans="8:8" ht="14.25" customHeight="1" x14ac:dyDescent="0.2">
      <c r="H134" s="76"/>
    </row>
    <row r="135" spans="8:8" ht="14.25" customHeight="1" x14ac:dyDescent="0.2">
      <c r="H135" s="76"/>
    </row>
    <row r="136" spans="8:8" ht="14.25" customHeight="1" x14ac:dyDescent="0.2">
      <c r="H136" s="76"/>
    </row>
    <row r="137" spans="8:8" ht="14.25" customHeight="1" x14ac:dyDescent="0.2">
      <c r="H137" s="76"/>
    </row>
    <row r="138" spans="8:8" ht="14.25" customHeight="1" x14ac:dyDescent="0.2">
      <c r="H138" s="76"/>
    </row>
    <row r="139" spans="8:8" ht="14.25" customHeight="1" x14ac:dyDescent="0.2">
      <c r="H139" s="76"/>
    </row>
    <row r="140" spans="8:8" ht="14.25" customHeight="1" x14ac:dyDescent="0.2">
      <c r="H140" s="76"/>
    </row>
    <row r="141" spans="8:8" ht="14.25" customHeight="1" x14ac:dyDescent="0.2">
      <c r="H141" s="76"/>
    </row>
    <row r="142" spans="8:8" ht="14.25" customHeight="1" x14ac:dyDescent="0.2">
      <c r="H142" s="76"/>
    </row>
    <row r="143" spans="8:8" ht="14.25" customHeight="1" x14ac:dyDescent="0.2">
      <c r="H143" s="76"/>
    </row>
    <row r="144" spans="8:8" ht="14.25" customHeight="1" x14ac:dyDescent="0.2">
      <c r="H144" s="76"/>
    </row>
    <row r="145" spans="8:8" ht="14.25" customHeight="1" x14ac:dyDescent="0.2">
      <c r="H145" s="76"/>
    </row>
    <row r="146" spans="8:8" ht="14.25" customHeight="1" x14ac:dyDescent="0.2">
      <c r="H146" s="76"/>
    </row>
    <row r="147" spans="8:8" ht="14.25" customHeight="1" x14ac:dyDescent="0.2">
      <c r="H147" s="76"/>
    </row>
    <row r="148" spans="8:8" ht="14.25" customHeight="1" x14ac:dyDescent="0.2">
      <c r="H148" s="76"/>
    </row>
    <row r="149" spans="8:8" ht="14.25" customHeight="1" x14ac:dyDescent="0.2">
      <c r="H149" s="76"/>
    </row>
    <row r="150" spans="8:8" ht="14.25" customHeight="1" x14ac:dyDescent="0.2">
      <c r="H150" s="76"/>
    </row>
    <row r="151" spans="8:8" ht="14.25" customHeight="1" x14ac:dyDescent="0.2">
      <c r="H151" s="76"/>
    </row>
    <row r="152" spans="8:8" ht="14.25" customHeight="1" x14ac:dyDescent="0.2">
      <c r="H152" s="76"/>
    </row>
    <row r="153" spans="8:8" ht="14.25" customHeight="1" x14ac:dyDescent="0.2">
      <c r="H153" s="76"/>
    </row>
    <row r="154" spans="8:8" ht="14.25" customHeight="1" x14ac:dyDescent="0.2">
      <c r="H154" s="76"/>
    </row>
    <row r="155" spans="8:8" ht="14.25" customHeight="1" x14ac:dyDescent="0.2">
      <c r="H155" s="76"/>
    </row>
    <row r="156" spans="8:8" ht="14.25" customHeight="1" x14ac:dyDescent="0.2">
      <c r="H156" s="76"/>
    </row>
    <row r="157" spans="8:8" ht="14.25" customHeight="1" x14ac:dyDescent="0.2">
      <c r="H157" s="76"/>
    </row>
    <row r="158" spans="8:8" ht="14.25" customHeight="1" x14ac:dyDescent="0.2">
      <c r="H158" s="76"/>
    </row>
    <row r="159" spans="8:8" ht="14.25" customHeight="1" x14ac:dyDescent="0.2">
      <c r="H159" s="76"/>
    </row>
    <row r="160" spans="8:8" ht="14.25" customHeight="1" x14ac:dyDescent="0.2">
      <c r="H160" s="76"/>
    </row>
    <row r="161" spans="8:8" ht="14.25" customHeight="1" x14ac:dyDescent="0.2">
      <c r="H161" s="76"/>
    </row>
    <row r="162" spans="8:8" ht="14.25" customHeight="1" x14ac:dyDescent="0.2">
      <c r="H162" s="76"/>
    </row>
    <row r="163" spans="8:8" ht="14.25" customHeight="1" x14ac:dyDescent="0.2">
      <c r="H163" s="76"/>
    </row>
    <row r="164" spans="8:8" ht="14.25" customHeight="1" x14ac:dyDescent="0.2">
      <c r="H164" s="76"/>
    </row>
    <row r="165" spans="8:8" ht="14.25" customHeight="1" x14ac:dyDescent="0.2">
      <c r="H165" s="76"/>
    </row>
    <row r="166" spans="8:8" ht="14.25" customHeight="1" x14ac:dyDescent="0.2">
      <c r="H166" s="76"/>
    </row>
    <row r="167" spans="8:8" ht="14.25" customHeight="1" x14ac:dyDescent="0.2">
      <c r="H167" s="76"/>
    </row>
    <row r="168" spans="8:8" ht="14.25" customHeight="1" x14ac:dyDescent="0.2">
      <c r="H168" s="76"/>
    </row>
    <row r="169" spans="8:8" ht="14.25" customHeight="1" x14ac:dyDescent="0.2">
      <c r="H169" s="76"/>
    </row>
    <row r="170" spans="8:8" ht="14.25" customHeight="1" x14ac:dyDescent="0.2">
      <c r="H170" s="76"/>
    </row>
    <row r="171" spans="8:8" ht="14.25" customHeight="1" x14ac:dyDescent="0.2">
      <c r="H171" s="76"/>
    </row>
    <row r="172" spans="8:8" ht="14.25" customHeight="1" x14ac:dyDescent="0.2">
      <c r="H172" s="76"/>
    </row>
    <row r="173" spans="8:8" ht="14.25" customHeight="1" x14ac:dyDescent="0.2">
      <c r="H173" s="76"/>
    </row>
    <row r="174" spans="8:8" ht="14.25" customHeight="1" x14ac:dyDescent="0.2">
      <c r="H174" s="76"/>
    </row>
    <row r="175" spans="8:8" ht="14.25" customHeight="1" x14ac:dyDescent="0.2">
      <c r="H175" s="76"/>
    </row>
    <row r="176" spans="8:8" ht="14.25" customHeight="1" x14ac:dyDescent="0.2">
      <c r="H176" s="76"/>
    </row>
    <row r="177" spans="8:8" ht="14.25" customHeight="1" x14ac:dyDescent="0.2">
      <c r="H177" s="76"/>
    </row>
    <row r="178" spans="8:8" ht="14.25" customHeight="1" x14ac:dyDescent="0.2">
      <c r="H178" s="76"/>
    </row>
    <row r="179" spans="8:8" ht="14.25" customHeight="1" x14ac:dyDescent="0.2">
      <c r="H179" s="76"/>
    </row>
    <row r="180" spans="8:8" ht="14.25" customHeight="1" x14ac:dyDescent="0.2">
      <c r="H180" s="76"/>
    </row>
    <row r="181" spans="8:8" ht="14.25" customHeight="1" x14ac:dyDescent="0.2">
      <c r="H181" s="76"/>
    </row>
    <row r="182" spans="8:8" ht="14.25" customHeight="1" x14ac:dyDescent="0.2">
      <c r="H182" s="76"/>
    </row>
    <row r="183" spans="8:8" ht="14.25" customHeight="1" x14ac:dyDescent="0.2">
      <c r="H183" s="76"/>
    </row>
    <row r="184" spans="8:8" ht="14.25" customHeight="1" x14ac:dyDescent="0.2">
      <c r="H184" s="76"/>
    </row>
    <row r="185" spans="8:8" ht="14.25" customHeight="1" x14ac:dyDescent="0.2">
      <c r="H185" s="76"/>
    </row>
    <row r="186" spans="8:8" ht="14.25" customHeight="1" x14ac:dyDescent="0.2">
      <c r="H186" s="76"/>
    </row>
    <row r="187" spans="8:8" ht="14.25" customHeight="1" x14ac:dyDescent="0.2">
      <c r="H187" s="76"/>
    </row>
    <row r="188" spans="8:8" ht="14.25" customHeight="1" x14ac:dyDescent="0.2">
      <c r="H188" s="76"/>
    </row>
    <row r="189" spans="8:8" ht="14.25" customHeight="1" x14ac:dyDescent="0.2">
      <c r="H189" s="76"/>
    </row>
    <row r="190" spans="8:8" ht="14.25" customHeight="1" x14ac:dyDescent="0.2">
      <c r="H190" s="76"/>
    </row>
    <row r="191" spans="8:8" ht="14.25" customHeight="1" x14ac:dyDescent="0.2">
      <c r="H191" s="76"/>
    </row>
    <row r="192" spans="8:8" ht="14.25" customHeight="1" x14ac:dyDescent="0.2">
      <c r="H192" s="76"/>
    </row>
    <row r="193" spans="8:8" ht="14.25" customHeight="1" x14ac:dyDescent="0.2">
      <c r="H193" s="76"/>
    </row>
    <row r="194" spans="8:8" ht="14.25" customHeight="1" x14ac:dyDescent="0.2">
      <c r="H194" s="76"/>
    </row>
    <row r="195" spans="8:8" ht="14.25" customHeight="1" x14ac:dyDescent="0.2">
      <c r="H195" s="76"/>
    </row>
    <row r="196" spans="8:8" ht="14.25" customHeight="1" x14ac:dyDescent="0.2">
      <c r="H196" s="76"/>
    </row>
    <row r="197" spans="8:8" ht="14.25" customHeight="1" x14ac:dyDescent="0.2">
      <c r="H197" s="76"/>
    </row>
    <row r="198" spans="8:8" ht="14.25" customHeight="1" x14ac:dyDescent="0.2">
      <c r="H198" s="76"/>
    </row>
    <row r="199" spans="8:8" ht="14.25" customHeight="1" x14ac:dyDescent="0.2">
      <c r="H199" s="76"/>
    </row>
    <row r="200" spans="8:8" ht="14.25" customHeight="1" x14ac:dyDescent="0.2">
      <c r="H200" s="76"/>
    </row>
    <row r="201" spans="8:8" ht="14.25" customHeight="1" x14ac:dyDescent="0.2">
      <c r="H201" s="76"/>
    </row>
    <row r="202" spans="8:8" ht="14.25" customHeight="1" x14ac:dyDescent="0.2">
      <c r="H202" s="76"/>
    </row>
    <row r="203" spans="8:8" ht="14.25" customHeight="1" x14ac:dyDescent="0.2">
      <c r="H203" s="76"/>
    </row>
    <row r="204" spans="8:8" ht="14.25" customHeight="1" x14ac:dyDescent="0.2">
      <c r="H204" s="76"/>
    </row>
    <row r="205" spans="8:8" ht="14.25" customHeight="1" x14ac:dyDescent="0.2">
      <c r="H205" s="76"/>
    </row>
    <row r="206" spans="8:8" ht="14.25" customHeight="1" x14ac:dyDescent="0.2">
      <c r="H206" s="76"/>
    </row>
    <row r="207" spans="8:8" ht="14.25" customHeight="1" x14ac:dyDescent="0.2">
      <c r="H207" s="76"/>
    </row>
    <row r="208" spans="8:8" ht="14.25" customHeight="1" x14ac:dyDescent="0.2">
      <c r="H208" s="76"/>
    </row>
    <row r="209" spans="8:8" ht="14.25" customHeight="1" x14ac:dyDescent="0.2">
      <c r="H209" s="76"/>
    </row>
    <row r="210" spans="8:8" ht="14.25" customHeight="1" x14ac:dyDescent="0.2">
      <c r="H210" s="76"/>
    </row>
    <row r="211" spans="8:8" ht="14.25" customHeight="1" x14ac:dyDescent="0.2">
      <c r="H211" s="76"/>
    </row>
    <row r="212" spans="8:8" ht="14.25" customHeight="1" x14ac:dyDescent="0.2">
      <c r="H212" s="76"/>
    </row>
    <row r="213" spans="8:8" ht="14.25" customHeight="1" x14ac:dyDescent="0.2">
      <c r="H213" s="76"/>
    </row>
    <row r="214" spans="8:8" ht="14.25" customHeight="1" x14ac:dyDescent="0.2">
      <c r="H214" s="76"/>
    </row>
    <row r="215" spans="8:8" ht="14.25" customHeight="1" x14ac:dyDescent="0.2">
      <c r="H215" s="76"/>
    </row>
    <row r="216" spans="8:8" ht="14.25" customHeight="1" x14ac:dyDescent="0.2">
      <c r="H216" s="76"/>
    </row>
    <row r="217" spans="8:8" ht="14.25" customHeight="1" x14ac:dyDescent="0.2">
      <c r="H217" s="76"/>
    </row>
    <row r="218" spans="8:8" ht="14.25" customHeight="1" x14ac:dyDescent="0.2">
      <c r="H218" s="76"/>
    </row>
    <row r="219" spans="8:8" ht="14.25" customHeight="1" x14ac:dyDescent="0.2">
      <c r="H219" s="76"/>
    </row>
    <row r="220" spans="8:8" ht="14.25" customHeight="1" x14ac:dyDescent="0.2">
      <c r="H220" s="76"/>
    </row>
    <row r="221" spans="8:8" ht="15.75" customHeight="1" x14ac:dyDescent="0.2"/>
    <row r="222" spans="8:8" ht="15.75" customHeight="1" x14ac:dyDescent="0.2"/>
    <row r="223" spans="8:8" ht="15.75" customHeight="1" x14ac:dyDescent="0.2"/>
    <row r="224" spans="8:8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BC 09.09.2024 - 13.09.2024</vt:lpstr>
      <vt:lpstr>BC 16.09.2024 - 20.09.2024</vt:lpstr>
      <vt:lpstr>BC 23.09.2024 - 27.09.2024</vt:lpstr>
      <vt:lpstr>BC 28.10.2024- 31.10.2024</vt:lpstr>
      <vt:lpstr>BC 04.11.2024- 08.11.2024</vt:lpstr>
      <vt:lpstr>BC 11.11.2024- 15.11.2024</vt:lpstr>
      <vt:lpstr>BC 18.11.2024- 22.11.2024</vt:lpstr>
      <vt:lpstr>BC 25.11.2024- 29.11.2024</vt:lpstr>
      <vt:lpstr>BC 02.12.2024- 06.12.2024</vt:lpstr>
      <vt:lpstr>BC 09.12.2024- 13.12.2024</vt:lpstr>
      <vt:lpstr>BC 16.12.2024- 20.12.2024</vt:lpstr>
      <vt:lpstr>BC 23.12.2024- 27.12.2024</vt:lpstr>
      <vt:lpstr>BC 30.12.2024- 03.01.2025</vt:lpstr>
      <vt:lpstr>BC 06.01.2025- 10.01.2025</vt:lpstr>
      <vt:lpstr>BC 13.01.2025- 17.01.2025</vt:lpstr>
      <vt:lpstr>BC 20.01.2025- 24.01.2025</vt:lpstr>
      <vt:lpstr>BC 03.02.2025- 07.02.2025</vt:lpstr>
      <vt:lpstr>BC 10.02.2025- 14.02.2025</vt:lpstr>
      <vt:lpstr>BC 17.02.2025- 21.02.2025</vt:lpstr>
      <vt:lpstr>BC 24.02.2025- 28.02.2025 </vt:lpstr>
      <vt:lpstr>BC 03.03.2025- 07.03.2025</vt:lpstr>
      <vt:lpstr>BC 10.03.2025- 14.03.2025</vt:lpstr>
      <vt:lpstr>BC 17.03.2025- 21.03.2025</vt:lpstr>
      <vt:lpstr>BC 24.03.2025- 28.03.2025</vt:lpstr>
      <vt:lpstr>BC 31.03.2025- 04.04.2025</vt:lpstr>
      <vt:lpstr>BC 07.04.2025- 11.04.2025</vt:lpstr>
      <vt:lpstr>BC 14.04.2025- 18.04.2025</vt:lpstr>
      <vt:lpstr>BC 21.04.2025- 26.04.2025</vt:lpstr>
      <vt:lpstr>BC 05.05.2025- 09.05.2025</vt:lpstr>
      <vt:lpstr>BC 12.05.2025- 16.05.2025</vt:lpstr>
      <vt:lpstr>BC 19.05.2025- 23.05.2025</vt:lpstr>
      <vt:lpstr>BC 26.05.2025- 30.05.2025</vt:lpstr>
      <vt:lpstr>BC 02.06.2025- 06.06.2025</vt:lpstr>
      <vt:lpstr>BC 09.06.2025- 13.06.2025</vt:lpstr>
      <vt:lpstr>BC 16.06.2025- 20.06.2025</vt:lpstr>
      <vt:lpstr>BC 23.06.2025- 27.06.2025</vt:lpstr>
      <vt:lpstr>BC 30.06.2025- 04.07.2025</vt:lpstr>
      <vt:lpstr>BC 07.07.2025- 11.07.2025</vt:lpstr>
      <vt:lpstr>BC 14.07.2025- 18.07.2025</vt:lpstr>
      <vt:lpstr>BC 21.07.2025- 25.07.2025</vt:lpstr>
      <vt:lpstr>BC 28.07.2025- 01.08.2025</vt:lpstr>
      <vt:lpstr>BC 04.08.2025- 08.08.2025</vt:lpstr>
      <vt:lpstr>BC 11.08.2025- 15.08.2025</vt:lpstr>
      <vt:lpstr>BC 18.08.2025- 22.08.2025</vt:lpstr>
      <vt:lpstr>BC 25.08.2025- 29.08.2025</vt:lpstr>
      <vt:lpstr>BC 01.09.2025- 05.09.2025</vt:lpstr>
      <vt:lpstr>BC 08.09.2025- 12.09.2025</vt:lpstr>
      <vt:lpstr>BC 15.09.2025- 19.09.2025</vt:lpstr>
      <vt:lpstr>BC 22.09.2025- 26.09.2025</vt:lpstr>
      <vt:lpstr>BC 29.09.2025- 03.10.2025</vt:lpstr>
      <vt:lpstr>BC 13.10.2025- 17.10.2025</vt:lpstr>
      <vt:lpstr>BC 20.10.2025- 24.10.2025</vt:lpstr>
      <vt:lpstr>BC 27.10.2025- 31.10.2025</vt:lpstr>
      <vt:lpstr>BC 03.11.2025- 07.11.2025</vt:lpstr>
      <vt:lpstr>BC 17.11.2025- 21.11.2025</vt:lpstr>
      <vt:lpstr>BC 24.11.2025-28.11.2025</vt:lpstr>
      <vt:lpstr>BC 13.4 - 17.4.2026</vt:lpstr>
      <vt:lpstr>BC 25.5-29.52026</vt:lpstr>
      <vt:lpstr>BC 29.6 - 3.7.2026</vt:lpstr>
      <vt:lpstr>BC 12.10 - 16.10.2026</vt:lpstr>
      <vt:lpstr>BC 23.3-27.3.2026</vt:lpstr>
      <vt:lpstr>BC 16.3-20.3.2026</vt:lpstr>
      <vt:lpstr>BC-2.3-6.3.2026</vt:lpstr>
      <vt:lpstr>BC 9.2.2026 - 13.2.2026 </vt:lpstr>
      <vt:lpstr>BC 2.2.2026-6.2.2026 </vt:lpstr>
      <vt:lpstr>BC 26.1.2026-30.1.2026</vt:lpstr>
      <vt:lpstr>BC 19.1.2026-23.1.2026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Trịnh Minh</cp:lastModifiedBy>
  <cp:revision/>
  <dcterms:created xsi:type="dcterms:W3CDTF">2026-09-20T11:24:07Z</dcterms:created>
  <dcterms:modified xsi:type="dcterms:W3CDTF">2026-10-11T06:10:22Z</dcterms:modified>
  <cp:category/>
  <cp:contentStatus/>
</cp:coreProperties>
</file>